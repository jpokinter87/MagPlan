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agPlan\data\"/>
    </mc:Choice>
  </mc:AlternateContent>
  <xr:revisionPtr revIDLastSave="0" documentId="8_{32021317-D5BE-4E81-89A5-07213F1F0093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Synthèse" sheetId="9" state="hidden" r:id="rId1"/>
    <sheet name="Actuel" sheetId="3" r:id="rId2"/>
    <sheet name="Réforme" sheetId="7" r:id="rId3"/>
    <sheet name="Proposition " sheetId="10" r:id="rId4"/>
    <sheet name="Simulation MP" sheetId="11" r:id="rId5"/>
    <sheet name="Proposition" sheetId="8" state="hidden" r:id="rId6"/>
    <sheet name="Feuil3" sheetId="6" state="hidden" r:id="rId7"/>
    <sheet name="Charges" sheetId="2" state="hidden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" i="11" l="1"/>
  <c r="AM12" i="11" s="1"/>
  <c r="AM7" i="11"/>
  <c r="AM11" i="11" s="1"/>
  <c r="AM8" i="11"/>
  <c r="AM9" i="11"/>
  <c r="AM14" i="11"/>
  <c r="AM15" i="11"/>
  <c r="AM16" i="11"/>
  <c r="AK7" i="11"/>
  <c r="AK11" i="11" s="1"/>
  <c r="AK14" i="11"/>
  <c r="AK8" i="11"/>
  <c r="AK9" i="11"/>
  <c r="AK31" i="11"/>
  <c r="AK28" i="11"/>
  <c r="AK27" i="11"/>
  <c r="AS16" i="11"/>
  <c r="AQ16" i="11"/>
  <c r="AA34" i="11"/>
  <c r="V34" i="11"/>
  <c r="Q34" i="11"/>
  <c r="L34" i="11"/>
  <c r="G34" i="11"/>
  <c r="AR15" i="11"/>
  <c r="AR16" i="11" s="1"/>
  <c r="AP15" i="11"/>
  <c r="AP16" i="11" s="1"/>
  <c r="AN15" i="11"/>
  <c r="AL15" i="11"/>
  <c r="AL16" i="11" s="1"/>
  <c r="AI15" i="11"/>
  <c r="AI16" i="11" s="1"/>
  <c r="AH15" i="11"/>
  <c r="AH16" i="11" s="1"/>
  <c r="AS14" i="11"/>
  <c r="AR14" i="11"/>
  <c r="AQ14" i="11"/>
  <c r="AP14" i="11"/>
  <c r="AO14" i="11"/>
  <c r="AN14" i="11"/>
  <c r="AL14" i="11"/>
  <c r="AJ14" i="11"/>
  <c r="AI14" i="11"/>
  <c r="AH14" i="11"/>
  <c r="AG14" i="11"/>
  <c r="AF14" i="11"/>
  <c r="AE14" i="11"/>
  <c r="AG10" i="11"/>
  <c r="AS9" i="11"/>
  <c r="AR9" i="11"/>
  <c r="AQ9" i="11"/>
  <c r="AP9" i="11"/>
  <c r="AO9" i="11"/>
  <c r="AN9" i="11"/>
  <c r="AL9" i="11"/>
  <c r="AJ9" i="11"/>
  <c r="AI9" i="11"/>
  <c r="AH9" i="11"/>
  <c r="AS8" i="11"/>
  <c r="AR8" i="11"/>
  <c r="AQ8" i="11"/>
  <c r="AP8" i="11"/>
  <c r="AO8" i="11"/>
  <c r="AN8" i="11"/>
  <c r="AL8" i="11"/>
  <c r="AJ8" i="11"/>
  <c r="AI8" i="11"/>
  <c r="AH8" i="11"/>
  <c r="AS7" i="11"/>
  <c r="AS10" i="11" s="1"/>
  <c r="AR7" i="11"/>
  <c r="AR11" i="11" s="1"/>
  <c r="AQ7" i="11"/>
  <c r="AQ11" i="11" s="1"/>
  <c r="AP7" i="11"/>
  <c r="AP11" i="11" s="1"/>
  <c r="AO7" i="11"/>
  <c r="AO11" i="11" s="1"/>
  <c r="AN7" i="11"/>
  <c r="AN11" i="11" s="1"/>
  <c r="AL7" i="11"/>
  <c r="AL11" i="11" s="1"/>
  <c r="AJ7" i="11"/>
  <c r="AJ11" i="11" s="1"/>
  <c r="AI7" i="11"/>
  <c r="AI11" i="11" s="1"/>
  <c r="AH7" i="11"/>
  <c r="AH11" i="11" s="1"/>
  <c r="AF7" i="11"/>
  <c r="AB4" i="11"/>
  <c r="AH10" i="11" s="1"/>
  <c r="AA34" i="10"/>
  <c r="V34" i="10"/>
  <c r="Q34" i="10"/>
  <c r="L34" i="10"/>
  <c r="G34" i="10"/>
  <c r="AH27" i="10"/>
  <c r="AH26" i="10"/>
  <c r="AH5" i="10"/>
  <c r="AI6" i="10"/>
  <c r="AM17" i="11" l="1"/>
  <c r="AM18" i="11" s="1"/>
  <c r="AM19" i="11" s="1"/>
  <c r="AK10" i="11"/>
  <c r="AK12" i="11" s="1"/>
  <c r="AE15" i="11"/>
  <c r="AE16" i="11" s="1"/>
  <c r="AL10" i="11"/>
  <c r="AL12" i="11" s="1"/>
  <c r="AN10" i="11"/>
  <c r="AN12" i="11" s="1"/>
  <c r="AO10" i="11"/>
  <c r="AO12" i="11" s="1"/>
  <c r="AP10" i="11"/>
  <c r="AP12" i="11" s="1"/>
  <c r="AI10" i="11"/>
  <c r="AI12" i="11" s="1"/>
  <c r="AJ10" i="11"/>
  <c r="AJ12" i="11" s="1"/>
  <c r="AE8" i="11"/>
  <c r="AE7" i="11"/>
  <c r="AE9" i="11"/>
  <c r="AS17" i="11"/>
  <c r="AS18" i="11" s="1"/>
  <c r="AS12" i="11"/>
  <c r="AH12" i="11"/>
  <c r="AH17" i="11"/>
  <c r="AH18" i="11" s="1"/>
  <c r="AH19" i="11" s="1"/>
  <c r="AQ10" i="11"/>
  <c r="AQ12" i="11" s="1"/>
  <c r="AS11" i="11"/>
  <c r="AR10" i="11"/>
  <c r="AR12" i="11" s="1"/>
  <c r="AF10" i="11"/>
  <c r="AN16" i="11"/>
  <c r="AI5" i="10"/>
  <c r="AI26" i="10"/>
  <c r="AL26" i="10"/>
  <c r="AL5" i="10"/>
  <c r="AL25" i="10"/>
  <c r="AI25" i="10"/>
  <c r="AG4" i="10"/>
  <c r="AJ4" i="10"/>
  <c r="AM4" i="10"/>
  <c r="AM8" i="10" s="1"/>
  <c r="AM12" i="10"/>
  <c r="AM10" i="10"/>
  <c r="Q55" i="10"/>
  <c r="Q54" i="10"/>
  <c r="Q53" i="10"/>
  <c r="Q52" i="10"/>
  <c r="Q51" i="10"/>
  <c r="Q50" i="10"/>
  <c r="AL17" i="11" l="1"/>
  <c r="AL18" i="11" s="1"/>
  <c r="AL19" i="11" s="1"/>
  <c r="AN17" i="11"/>
  <c r="AN18" i="11" s="1"/>
  <c r="AN19" i="11" s="1"/>
  <c r="AI17" i="11"/>
  <c r="AI18" i="11" s="1"/>
  <c r="AI19" i="11" s="1"/>
  <c r="AP17" i="11"/>
  <c r="AP18" i="11" s="1"/>
  <c r="AP19" i="11" s="1"/>
  <c r="AF12" i="11"/>
  <c r="AE10" i="11"/>
  <c r="AR17" i="11"/>
  <c r="AR18" i="11" s="1"/>
  <c r="AR19" i="11" s="1"/>
  <c r="AQ17" i="11"/>
  <c r="AQ18" i="11" s="1"/>
  <c r="AJ12" i="10"/>
  <c r="AJ8" i="10"/>
  <c r="AJ10" i="10" s="1"/>
  <c r="AM8" i="3"/>
  <c r="AN10" i="3"/>
  <c r="AL7" i="3"/>
  <c r="AK4" i="10" s="1"/>
  <c r="AK8" i="3"/>
  <c r="AK10" i="3" s="1"/>
  <c r="AK12" i="3"/>
  <c r="AK5" i="3"/>
  <c r="AK4" i="3"/>
  <c r="AM7" i="3"/>
  <c r="AL4" i="10" s="1"/>
  <c r="AJ7" i="3"/>
  <c r="AI4" i="10" s="1"/>
  <c r="AE17" i="11" l="1"/>
  <c r="AE18" i="11" s="1"/>
  <c r="AE19" i="11" s="1"/>
  <c r="AE12" i="11"/>
  <c r="AE7" i="10"/>
  <c r="AI27" i="10"/>
  <c r="AJ27" i="10"/>
  <c r="AK27" i="10"/>
  <c r="AL27" i="10"/>
  <c r="AM27" i="10"/>
  <c r="AN27" i="10"/>
  <c r="AO27" i="10"/>
  <c r="AP27" i="10"/>
  <c r="AQ27" i="10"/>
  <c r="AJ26" i="10"/>
  <c r="AK26" i="10"/>
  <c r="AM26" i="10"/>
  <c r="AN26" i="10"/>
  <c r="AO26" i="10"/>
  <c r="AP26" i="10"/>
  <c r="AQ26" i="10"/>
  <c r="AH25" i="10"/>
  <c r="AH29" i="10" s="1"/>
  <c r="AK6" i="10"/>
  <c r="AL6" i="10"/>
  <c r="AN6" i="10"/>
  <c r="AO6" i="10"/>
  <c r="AP6" i="10"/>
  <c r="AQ6" i="10"/>
  <c r="AK5" i="10"/>
  <c r="AN5" i="10"/>
  <c r="AO5" i="10"/>
  <c r="AP5" i="10"/>
  <c r="AQ5" i="10"/>
  <c r="AH6" i="10"/>
  <c r="AE27" i="10" l="1"/>
  <c r="AE26" i="10"/>
  <c r="AE5" i="10"/>
  <c r="AE6" i="10"/>
  <c r="AL29" i="10"/>
  <c r="AQ34" i="10"/>
  <c r="AO34" i="10"/>
  <c r="AP33" i="10"/>
  <c r="AP34" i="10" s="1"/>
  <c r="AN33" i="10"/>
  <c r="AN34" i="10" s="1"/>
  <c r="AL33" i="10"/>
  <c r="AL34" i="10" s="1"/>
  <c r="AK33" i="10"/>
  <c r="AK34" i="10" s="1"/>
  <c r="AI33" i="10"/>
  <c r="AI34" i="10" s="1"/>
  <c r="AH33" i="10"/>
  <c r="AH34" i="10" s="1"/>
  <c r="AG28" i="10"/>
  <c r="AQ25" i="10"/>
  <c r="AQ28" i="10" s="1"/>
  <c r="AQ30" i="10" s="1"/>
  <c r="AP25" i="10"/>
  <c r="AP29" i="10" s="1"/>
  <c r="AO25" i="10"/>
  <c r="AO29" i="10" s="1"/>
  <c r="AN25" i="10"/>
  <c r="AN29" i="10" s="1"/>
  <c r="AM25" i="10"/>
  <c r="AM29" i="10" s="1"/>
  <c r="AK25" i="10"/>
  <c r="AK29" i="10" s="1"/>
  <c r="AJ25" i="10"/>
  <c r="AJ29" i="10" s="1"/>
  <c r="AI29" i="10"/>
  <c r="AF25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B4" i="10"/>
  <c r="AI28" i="10" s="1"/>
  <c r="AI30" i="10" s="1"/>
  <c r="AF5" i="3"/>
  <c r="AG5" i="3"/>
  <c r="AH5" i="3"/>
  <c r="AI5" i="3"/>
  <c r="AJ5" i="3"/>
  <c r="AL5" i="3"/>
  <c r="AM5" i="3"/>
  <c r="AO5" i="3"/>
  <c r="AP5" i="3"/>
  <c r="AQ5" i="3"/>
  <c r="AR5" i="3"/>
  <c r="AG7" i="3"/>
  <c r="AF4" i="10" s="1"/>
  <c r="AI7" i="3"/>
  <c r="AJ9" i="3"/>
  <c r="AL9" i="3"/>
  <c r="AM9" i="3"/>
  <c r="AO7" i="3"/>
  <c r="AP7" i="3"/>
  <c r="AQ7" i="3"/>
  <c r="AR7" i="3"/>
  <c r="AH8" i="3"/>
  <c r="AI11" i="3"/>
  <c r="AJ11" i="3"/>
  <c r="AJ12" i="3" s="1"/>
  <c r="AL11" i="3"/>
  <c r="AL12" i="3" s="1"/>
  <c r="AM11" i="3"/>
  <c r="AM12" i="3" s="1"/>
  <c r="AO11" i="3"/>
  <c r="AO12" i="3" s="1"/>
  <c r="AQ11" i="3"/>
  <c r="AQ12" i="3" s="1"/>
  <c r="AG12" i="3"/>
  <c r="AP12" i="3"/>
  <c r="AR12" i="3"/>
  <c r="AM7" i="7"/>
  <c r="AM9" i="7" s="1"/>
  <c r="AM5" i="7"/>
  <c r="AJ7" i="7"/>
  <c r="AJ9" i="7" s="1"/>
  <c r="AJ5" i="7"/>
  <c r="L43" i="9"/>
  <c r="J43" i="9"/>
  <c r="E43" i="9"/>
  <c r="C43" i="9"/>
  <c r="K42" i="9"/>
  <c r="K43" i="9" s="1"/>
  <c r="I42" i="9"/>
  <c r="I43" i="9" s="1"/>
  <c r="H42" i="9"/>
  <c r="H43" i="9" s="1"/>
  <c r="G42" i="9"/>
  <c r="G43" i="9" s="1"/>
  <c r="F42" i="9"/>
  <c r="F43" i="9" s="1"/>
  <c r="E42" i="9"/>
  <c r="D39" i="9"/>
  <c r="L36" i="9"/>
  <c r="K36" i="9"/>
  <c r="J36" i="9"/>
  <c r="I36" i="9"/>
  <c r="H36" i="9"/>
  <c r="G36" i="9"/>
  <c r="F36" i="9"/>
  <c r="E36" i="9"/>
  <c r="D36" i="9"/>
  <c r="C36" i="9"/>
  <c r="B42" i="9"/>
  <c r="B43" i="9" s="1"/>
  <c r="B36" i="9"/>
  <c r="L27" i="9"/>
  <c r="J27" i="9"/>
  <c r="C27" i="9"/>
  <c r="K26" i="9"/>
  <c r="K27" i="9" s="1"/>
  <c r="I26" i="9"/>
  <c r="I27" i="9" s="1"/>
  <c r="H26" i="9"/>
  <c r="H27" i="9" s="1"/>
  <c r="G26" i="9"/>
  <c r="G27" i="9" s="1"/>
  <c r="F26" i="9"/>
  <c r="B26" i="9" s="1"/>
  <c r="B27" i="9" s="1"/>
  <c r="E26" i="9"/>
  <c r="E27" i="9" s="1"/>
  <c r="D23" i="9"/>
  <c r="L20" i="9"/>
  <c r="K20" i="9"/>
  <c r="J20" i="9"/>
  <c r="I20" i="9"/>
  <c r="H20" i="9"/>
  <c r="G20" i="9"/>
  <c r="F20" i="9"/>
  <c r="E20" i="9"/>
  <c r="D20" i="9"/>
  <c r="C20" i="9"/>
  <c r="B20" i="9"/>
  <c r="L12" i="9"/>
  <c r="K12" i="9"/>
  <c r="J12" i="9"/>
  <c r="F12" i="9"/>
  <c r="C12" i="9"/>
  <c r="K11" i="9"/>
  <c r="I11" i="9"/>
  <c r="I12" i="9" s="1"/>
  <c r="H11" i="9"/>
  <c r="H12" i="9" s="1"/>
  <c r="G11" i="9"/>
  <c r="G12" i="9" s="1"/>
  <c r="F11" i="9"/>
  <c r="E11" i="9"/>
  <c r="B11" i="9" s="1"/>
  <c r="B12" i="9" s="1"/>
  <c r="D8" i="9"/>
  <c r="L5" i="9"/>
  <c r="K5" i="9"/>
  <c r="J5" i="9"/>
  <c r="I5" i="9"/>
  <c r="H5" i="9"/>
  <c r="G5" i="9"/>
  <c r="F5" i="9"/>
  <c r="E5" i="9"/>
  <c r="D5" i="9"/>
  <c r="C5" i="9"/>
  <c r="B5" i="9"/>
  <c r="AN8" i="8"/>
  <c r="AM8" i="8"/>
  <c r="AL8" i="8"/>
  <c r="AK8" i="8"/>
  <c r="AI8" i="8"/>
  <c r="AJ8" i="8"/>
  <c r="AJ7" i="8"/>
  <c r="AI7" i="8"/>
  <c r="AH7" i="8"/>
  <c r="AF7" i="8"/>
  <c r="AP7" i="7"/>
  <c r="AP9" i="7" s="1"/>
  <c r="AO7" i="7"/>
  <c r="AO9" i="7" s="1"/>
  <c r="AN7" i="7"/>
  <c r="AN9" i="7" s="1"/>
  <c r="AL7" i="7"/>
  <c r="AL9" i="7" s="1"/>
  <c r="AG8" i="7"/>
  <c r="AK7" i="7"/>
  <c r="AK9" i="7" s="1"/>
  <c r="AI7" i="7"/>
  <c r="AI9" i="7" s="1"/>
  <c r="AH7" i="7"/>
  <c r="AH9" i="7" s="1"/>
  <c r="AF7" i="7"/>
  <c r="AB4" i="8"/>
  <c r="AQ12" i="7"/>
  <c r="AO12" i="7"/>
  <c r="AF12" i="7"/>
  <c r="AP11" i="7"/>
  <c r="AP12" i="7" s="1"/>
  <c r="AN11" i="7"/>
  <c r="AN12" i="7" s="1"/>
  <c r="AL11" i="7"/>
  <c r="AL12" i="7" s="1"/>
  <c r="AK11" i="7"/>
  <c r="AK12" i="7" s="1"/>
  <c r="AI11" i="7"/>
  <c r="AH11" i="7"/>
  <c r="AH12" i="7" s="1"/>
  <c r="AQ7" i="7"/>
  <c r="AQ9" i="7" s="1"/>
  <c r="AQ5" i="7"/>
  <c r="AP5" i="7"/>
  <c r="AO5" i="7"/>
  <c r="AN5" i="7"/>
  <c r="AL5" i="7"/>
  <c r="AK5" i="7"/>
  <c r="AI5" i="7"/>
  <c r="AH5" i="7"/>
  <c r="AG5" i="7"/>
  <c r="AF5" i="7"/>
  <c r="AE5" i="7"/>
  <c r="AE5" i="8"/>
  <c r="AG8" i="8"/>
  <c r="AG5" i="8"/>
  <c r="AI9" i="3" l="1"/>
  <c r="AH4" i="10"/>
  <c r="AR8" i="3"/>
  <c r="AR10" i="3" s="1"/>
  <c r="AQ4" i="10"/>
  <c r="AQ9" i="3"/>
  <c r="AP4" i="10"/>
  <c r="AP9" i="3"/>
  <c r="AO4" i="10"/>
  <c r="AO9" i="3"/>
  <c r="AN4" i="10"/>
  <c r="AR13" i="3"/>
  <c r="AR14" i="3" s="1"/>
  <c r="AE25" i="10"/>
  <c r="AP28" i="10"/>
  <c r="AP30" i="10" s="1"/>
  <c r="AJ28" i="10"/>
  <c r="AJ30" i="10" s="1"/>
  <c r="AK28" i="10"/>
  <c r="AK30" i="10" s="1"/>
  <c r="AL28" i="10"/>
  <c r="AL30" i="10" s="1"/>
  <c r="AM28" i="10"/>
  <c r="AM30" i="10" s="1"/>
  <c r="AE33" i="10"/>
  <c r="AE34" i="10" s="1"/>
  <c r="AF28" i="10"/>
  <c r="AI35" i="10"/>
  <c r="AI36" i="10" s="1"/>
  <c r="AI37" i="10" s="1"/>
  <c r="AQ35" i="10"/>
  <c r="AQ36" i="10" s="1"/>
  <c r="AN28" i="10"/>
  <c r="AN30" i="10" s="1"/>
  <c r="AO28" i="10"/>
  <c r="AO30" i="10" s="1"/>
  <c r="AQ29" i="10"/>
  <c r="AH28" i="10"/>
  <c r="AH30" i="10" s="1"/>
  <c r="AF11" i="3"/>
  <c r="AF12" i="3" s="1"/>
  <c r="AR9" i="3"/>
  <c r="AI12" i="3"/>
  <c r="F27" i="9"/>
  <c r="E12" i="9"/>
  <c r="AI10" i="8"/>
  <c r="AF8" i="8"/>
  <c r="AH8" i="8"/>
  <c r="AE11" i="7"/>
  <c r="AE12" i="7" s="1"/>
  <c r="AI12" i="7"/>
  <c r="AQ8" i="7"/>
  <c r="AQ10" i="7" s="1"/>
  <c r="AF12" i="8"/>
  <c r="AM12" i="8"/>
  <c r="AO12" i="8"/>
  <c r="AF5" i="8"/>
  <c r="AH5" i="8"/>
  <c r="AI5" i="8"/>
  <c r="AJ5" i="8"/>
  <c r="AK5" i="8"/>
  <c r="AL5" i="8"/>
  <c r="AM5" i="8"/>
  <c r="AN5" i="8"/>
  <c r="AO5" i="8"/>
  <c r="AH11" i="8"/>
  <c r="AI11" i="8"/>
  <c r="AI12" i="8" s="1"/>
  <c r="AJ11" i="8"/>
  <c r="AJ12" i="8" s="1"/>
  <c r="AK11" i="8"/>
  <c r="AK12" i="8" s="1"/>
  <c r="AL11" i="8"/>
  <c r="AL12" i="8" s="1"/>
  <c r="AN11" i="8"/>
  <c r="AN12" i="8" s="1"/>
  <c r="AO7" i="8"/>
  <c r="AO9" i="8" s="1"/>
  <c r="AN7" i="8"/>
  <c r="AM7" i="8"/>
  <c r="AM9" i="8" s="1"/>
  <c r="AL7" i="8"/>
  <c r="AK7" i="8"/>
  <c r="AL10" i="8"/>
  <c r="AF30" i="10" l="1"/>
  <c r="AE28" i="10"/>
  <c r="AH35" i="10"/>
  <c r="AH36" i="10" s="1"/>
  <c r="AH37" i="10" s="1"/>
  <c r="AK35" i="10"/>
  <c r="AK36" i="10" s="1"/>
  <c r="AK37" i="10" s="1"/>
  <c r="AL35" i="10"/>
  <c r="AL36" i="10" s="1"/>
  <c r="AL37" i="10" s="1"/>
  <c r="AO35" i="10"/>
  <c r="AO36" i="10" s="1"/>
  <c r="AN35" i="10"/>
  <c r="AN36" i="10" s="1"/>
  <c r="AN37" i="10" s="1"/>
  <c r="AP35" i="10"/>
  <c r="AP36" i="10" s="1"/>
  <c r="AP37" i="10" s="1"/>
  <c r="AQ13" i="7"/>
  <c r="AQ14" i="7" s="1"/>
  <c r="AL13" i="8"/>
  <c r="AL14" i="8" s="1"/>
  <c r="AH12" i="8"/>
  <c r="AE11" i="8"/>
  <c r="AE12" i="8" s="1"/>
  <c r="AF10" i="8"/>
  <c r="AJ9" i="8"/>
  <c r="AO8" i="8"/>
  <c r="AH9" i="8"/>
  <c r="AM10" i="8"/>
  <c r="AN10" i="8"/>
  <c r="AN9" i="8"/>
  <c r="AI9" i="8"/>
  <c r="AK10" i="8"/>
  <c r="AK9" i="8"/>
  <c r="AL9" i="8"/>
  <c r="AE35" i="10" l="1"/>
  <c r="AE36" i="10" s="1"/>
  <c r="AE37" i="10" s="1"/>
  <c r="AE30" i="10"/>
  <c r="AH10" i="8"/>
  <c r="AE8" i="8"/>
  <c r="AJ13" i="8"/>
  <c r="AJ14" i="8" s="1"/>
  <c r="AJ10" i="8"/>
  <c r="AH13" i="8"/>
  <c r="AH14" i="8" s="1"/>
  <c r="AH15" i="8" s="1"/>
  <c r="AI13" i="8"/>
  <c r="AI14" i="8" s="1"/>
  <c r="AO10" i="8"/>
  <c r="AO13" i="8"/>
  <c r="AO14" i="8" s="1"/>
  <c r="AK13" i="8"/>
  <c r="AK14" i="8" s="1"/>
  <c r="AM13" i="8"/>
  <c r="AM14" i="8" s="1"/>
  <c r="AN13" i="8"/>
  <c r="AN14" i="8" s="1"/>
  <c r="AL15" i="8"/>
  <c r="AB4" i="7"/>
  <c r="AJ8" i="7" l="1"/>
  <c r="AJ10" i="7" s="1"/>
  <c r="AM8" i="7"/>
  <c r="AM10" i="7" s="1"/>
  <c r="AN8" i="7"/>
  <c r="AO8" i="7"/>
  <c r="AL8" i="7"/>
  <c r="AL10" i="7" s="1"/>
  <c r="AF8" i="7"/>
  <c r="AI8" i="7"/>
  <c r="AI10" i="7" s="1"/>
  <c r="AK8" i="7"/>
  <c r="AH8" i="7"/>
  <c r="AP8" i="7"/>
  <c r="AE10" i="8"/>
  <c r="AE13" i="8"/>
  <c r="AE14" i="8" s="1"/>
  <c r="AE15" i="8" s="1"/>
  <c r="AI15" i="8"/>
  <c r="AN15" i="8"/>
  <c r="AK15" i="8"/>
  <c r="AJ15" i="8"/>
  <c r="AB4" i="3"/>
  <c r="AF7" i="3" l="1"/>
  <c r="AE4" i="10" s="1"/>
  <c r="AJ8" i="3"/>
  <c r="AJ10" i="3" s="1"/>
  <c r="AG8" i="3"/>
  <c r="AG10" i="3" s="1"/>
  <c r="AL8" i="3"/>
  <c r="AP8" i="3"/>
  <c r="AQ8" i="3"/>
  <c r="AQ10" i="3" s="1"/>
  <c r="AO8" i="3"/>
  <c r="AI8" i="3"/>
  <c r="AE8" i="7"/>
  <c r="AN10" i="7"/>
  <c r="AN13" i="7"/>
  <c r="AN14" i="7" s="1"/>
  <c r="AN15" i="7" s="1"/>
  <c r="AO10" i="7"/>
  <c r="AO13" i="7"/>
  <c r="AO14" i="7" s="1"/>
  <c r="AF10" i="7"/>
  <c r="AP10" i="7"/>
  <c r="AP13" i="7"/>
  <c r="AP14" i="7" s="1"/>
  <c r="AP15" i="7" s="1"/>
  <c r="AH10" i="7"/>
  <c r="AH13" i="7"/>
  <c r="AH14" i="7" s="1"/>
  <c r="AH15" i="7" s="1"/>
  <c r="AL13" i="7"/>
  <c r="AL14" i="7" s="1"/>
  <c r="AL15" i="7" s="1"/>
  <c r="AI13" i="7"/>
  <c r="AI14" i="7" s="1"/>
  <c r="AI15" i="7" s="1"/>
  <c r="AK10" i="7"/>
  <c r="AK13" i="7"/>
  <c r="AK14" i="7" s="1"/>
  <c r="AK15" i="7" s="1"/>
  <c r="AJ13" i="3" l="1"/>
  <c r="AJ14" i="3" s="1"/>
  <c r="AJ15" i="3" s="1"/>
  <c r="AP13" i="3"/>
  <c r="AP14" i="3" s="1"/>
  <c r="AP10" i="3"/>
  <c r="AL13" i="3"/>
  <c r="AL14" i="3" s="1"/>
  <c r="AL15" i="3" s="1"/>
  <c r="AL10" i="3"/>
  <c r="AO10" i="3"/>
  <c r="AO13" i="3"/>
  <c r="AO14" i="3" s="1"/>
  <c r="AO15" i="3" s="1"/>
  <c r="AM10" i="3"/>
  <c r="AM13" i="3"/>
  <c r="AM14" i="3" s="1"/>
  <c r="AM15" i="3" s="1"/>
  <c r="AI10" i="3"/>
  <c r="AF8" i="3"/>
  <c r="AI13" i="3"/>
  <c r="AI14" i="3" s="1"/>
  <c r="AI15" i="3" s="1"/>
  <c r="AQ13" i="3"/>
  <c r="AQ14" i="3" s="1"/>
  <c r="AQ15" i="3" s="1"/>
  <c r="AE13" i="7"/>
  <c r="AE14" i="7" s="1"/>
  <c r="AE15" i="7" s="1"/>
  <c r="AE10" i="7"/>
  <c r="AF13" i="3" l="1"/>
  <c r="AF14" i="3" s="1"/>
  <c r="AF15" i="3" s="1"/>
  <c r="AF10" i="3"/>
  <c r="I31" i="6"/>
  <c r="J31" i="6"/>
  <c r="K31" i="6"/>
  <c r="H31" i="6"/>
  <c r="I47" i="6"/>
  <c r="J47" i="6"/>
  <c r="K47" i="6"/>
  <c r="I41" i="6"/>
  <c r="J41" i="6"/>
  <c r="K41" i="6"/>
  <c r="I21" i="6"/>
  <c r="J21" i="6"/>
  <c r="K21" i="6"/>
  <c r="I13" i="6"/>
  <c r="J13" i="6"/>
  <c r="K13" i="6"/>
  <c r="H47" i="6"/>
  <c r="H41" i="6"/>
  <c r="H21" i="6"/>
  <c r="H13" i="6"/>
  <c r="I35" i="6" l="1"/>
  <c r="I56" i="6" s="1"/>
  <c r="J35" i="6"/>
  <c r="J56" i="6" s="1"/>
  <c r="K35" i="6"/>
  <c r="K56" i="6" s="1"/>
  <c r="H35" i="6"/>
  <c r="H55" i="6" s="1"/>
  <c r="I50" i="6"/>
  <c r="J50" i="6"/>
  <c r="K50" i="6"/>
  <c r="H50" i="6"/>
  <c r="K55" i="6" l="1"/>
  <c r="J55" i="6"/>
  <c r="I55" i="6"/>
  <c r="D24" i="6"/>
  <c r="D48" i="6"/>
  <c r="D43" i="6"/>
  <c r="D37" i="6"/>
  <c r="D33" i="6"/>
  <c r="D5" i="6"/>
  <c r="D15" i="6"/>
  <c r="D55" i="6" l="1"/>
  <c r="D56" i="6"/>
  <c r="AT56" i="2" l="1"/>
  <c r="AF64" i="2"/>
  <c r="AM64" i="2"/>
  <c r="AN64" i="2"/>
  <c r="AF65" i="2"/>
  <c r="AT60" i="2"/>
  <c r="AC31" i="2" l="1"/>
  <c r="AD31" i="2" s="1"/>
  <c r="AC30" i="2"/>
  <c r="AC29" i="2"/>
  <c r="AC28" i="2"/>
  <c r="AC27" i="2" l="1"/>
  <c r="AC43" i="2" l="1"/>
  <c r="AJ33" i="2"/>
  <c r="AS45" i="2"/>
  <c r="AS37" i="2"/>
  <c r="AK32" i="2" s="1"/>
  <c r="AD43" i="2"/>
  <c r="AD65" i="2" s="1"/>
  <c r="AQ43" i="2"/>
  <c r="AP43" i="2"/>
  <c r="AO43" i="2"/>
  <c r="AO65" i="2" s="1"/>
  <c r="AL43" i="2"/>
  <c r="AK43" i="2"/>
  <c r="AG43" i="2"/>
  <c r="AS48" i="2"/>
  <c r="AM50" i="2" s="1"/>
  <c r="AN59" i="2"/>
  <c r="AN60" i="2"/>
  <c r="AN61" i="2" s="1"/>
  <c r="AN62" i="2" s="1"/>
  <c r="AM59" i="2"/>
  <c r="AM60" i="2"/>
  <c r="AM61" i="2" s="1"/>
  <c r="AM62" i="2" s="1"/>
  <c r="AJ59" i="2"/>
  <c r="AJ60" i="2"/>
  <c r="AH59" i="2"/>
  <c r="AE59" i="2"/>
  <c r="AN43" i="2"/>
  <c r="AN65" i="2" s="1"/>
  <c r="AM43" i="2"/>
  <c r="AM65" i="2" s="1"/>
  <c r="AV53" i="2"/>
  <c r="AS44" i="2"/>
  <c r="AS43" i="2"/>
  <c r="AK50" i="2"/>
  <c r="AE50" i="2"/>
  <c r="AK34" i="2"/>
  <c r="AK46" i="2" l="1"/>
  <c r="AS46" i="2"/>
  <c r="AJ39" i="2"/>
  <c r="AJ61" i="2" s="1"/>
  <c r="AJ62" i="2" s="1"/>
  <c r="AF50" i="2"/>
  <c r="AP50" i="2"/>
  <c r="AO50" i="2"/>
  <c r="AN50" i="2"/>
  <c r="AE43" i="2"/>
  <c r="AE65" i="2" s="1"/>
  <c r="AG50" i="2"/>
  <c r="AQ44" i="2"/>
  <c r="AQ65" i="2"/>
  <c r="AP44" i="2"/>
  <c r="AP65" i="2"/>
  <c r="AH43" i="2"/>
  <c r="AG65" i="2"/>
  <c r="AK44" i="2"/>
  <c r="AK65" i="2"/>
  <c r="AL44" i="2"/>
  <c r="AL65" i="2"/>
  <c r="AQ41" i="2"/>
  <c r="AF41" i="2"/>
  <c r="AN41" i="2"/>
  <c r="AS47" i="2"/>
  <c r="AG41" i="2"/>
  <c r="AG46" i="2"/>
  <c r="AE46" i="2" s="1"/>
  <c r="AK41" i="2"/>
  <c r="AO41" i="2"/>
  <c r="AP41" i="2"/>
  <c r="AM41" i="2"/>
  <c r="AF47" i="2"/>
  <c r="AI46" i="2"/>
  <c r="AL41" i="2"/>
  <c r="AH50" i="2"/>
  <c r="AQ50" i="2"/>
  <c r="AO44" i="2"/>
  <c r="AE49" i="2"/>
  <c r="AJ43" i="2"/>
  <c r="AI43" i="2"/>
  <c r="AJ38" i="2"/>
  <c r="AG44" i="2"/>
  <c r="AL50" i="2"/>
  <c r="AJ50" i="2" l="1"/>
  <c r="AS50" i="2"/>
  <c r="AH46" i="2"/>
  <c r="AJ41" i="2"/>
  <c r="AJ64" i="2"/>
  <c r="AH44" i="2"/>
  <c r="AH65" i="2"/>
  <c r="AI44" i="2"/>
  <c r="AI65" i="2"/>
  <c r="AE44" i="2"/>
  <c r="AJ44" i="2"/>
  <c r="AJ65" i="2"/>
  <c r="AE48" i="2"/>
  <c r="AP45" i="2"/>
  <c r="AP64" i="2" s="1"/>
  <c r="AE47" i="2"/>
  <c r="AL45" i="2"/>
  <c r="AL64" i="2" s="1"/>
  <c r="AE41" i="2"/>
  <c r="AG45" i="2"/>
  <c r="AI41" i="2"/>
  <c r="AD45" i="2"/>
  <c r="AD64" i="2" s="1"/>
  <c r="AI45" i="2"/>
  <c r="AQ45" i="2"/>
  <c r="AQ64" i="2" s="1"/>
  <c r="AO45" i="2"/>
  <c r="AO64" i="2" s="1"/>
  <c r="AK45" i="2"/>
  <c r="AK64" i="2" s="1"/>
  <c r="AH45" i="2"/>
  <c r="AH41" i="2"/>
  <c r="AK49" i="2"/>
  <c r="AQ49" i="2"/>
  <c r="AJ49" i="2"/>
  <c r="AN49" i="2"/>
  <c r="AH49" i="2"/>
  <c r="AP49" i="2"/>
  <c r="AL49" i="2"/>
  <c r="AM49" i="2"/>
  <c r="AG49" i="2"/>
  <c r="AO49" i="2"/>
  <c r="AI64" i="2" l="1"/>
  <c r="AI56" i="2"/>
  <c r="AG64" i="2"/>
  <c r="AG56" i="2"/>
  <c r="AH64" i="2"/>
  <c r="AH56" i="2"/>
  <c r="AE45" i="2"/>
  <c r="AH47" i="2"/>
  <c r="AH51" i="2" s="1"/>
  <c r="AH53" i="2" s="1"/>
  <c r="AH60" i="2" s="1"/>
  <c r="AH61" i="2" s="1"/>
  <c r="AH62" i="2" s="1"/>
  <c r="AQ47" i="2"/>
  <c r="AO47" i="2"/>
  <c r="AO51" i="2" s="1"/>
  <c r="AO53" i="2" s="1"/>
  <c r="AG47" i="2"/>
  <c r="AG51" i="2" s="1"/>
  <c r="AG53" i="2" s="1"/>
  <c r="AP47" i="2"/>
  <c r="AM47" i="2"/>
  <c r="AK47" i="2"/>
  <c r="AL47" i="2"/>
  <c r="AN47" i="2"/>
  <c r="AJ47" i="2"/>
  <c r="AI47" i="2"/>
  <c r="AI51" i="2" s="1"/>
  <c r="AI53" i="2" s="1"/>
  <c r="AQ48" i="2"/>
  <c r="AM48" i="2"/>
  <c r="AL48" i="2"/>
  <c r="AJ48" i="2"/>
  <c r="AG48" i="2"/>
  <c r="AK48" i="2"/>
  <c r="AK51" i="2" s="1"/>
  <c r="AK53" i="2" s="1"/>
  <c r="AO48" i="2"/>
  <c r="AP48" i="2"/>
  <c r="AN48" i="2"/>
  <c r="AH48" i="2"/>
  <c r="AQ51" i="2" l="1"/>
  <c r="AQ53" i="2" s="1"/>
  <c r="AL51" i="2"/>
  <c r="AL53" i="2" s="1"/>
  <c r="AP51" i="2"/>
  <c r="AP53" i="2" s="1"/>
  <c r="AP60" i="2" s="1"/>
  <c r="AP61" i="2" s="1"/>
  <c r="AP62" i="2" s="1"/>
  <c r="AE51" i="2"/>
  <c r="AE53" i="2" s="1"/>
  <c r="AE54" i="2" s="1"/>
  <c r="AE64" i="2"/>
  <c r="AG55" i="2"/>
  <c r="AG57" i="2" s="1"/>
  <c r="AG60" i="2"/>
  <c r="AG61" i="2" s="1"/>
  <c r="AG62" i="2" s="1"/>
  <c r="AQ60" i="2"/>
  <c r="AQ61" i="2" s="1"/>
  <c r="AQ62" i="2" s="1"/>
  <c r="AQ55" i="2"/>
  <c r="AQ57" i="2" s="1"/>
  <c r="AP55" i="2"/>
  <c r="AP57" i="2" s="1"/>
  <c r="AK55" i="2"/>
  <c r="AK57" i="2" s="1"/>
  <c r="AK60" i="2"/>
  <c r="AK61" i="2" s="1"/>
  <c r="AK62" i="2" s="1"/>
  <c r="AL55" i="2"/>
  <c r="AL57" i="2" s="1"/>
  <c r="AL60" i="2"/>
  <c r="AL61" i="2" s="1"/>
  <c r="AL62" i="2" s="1"/>
  <c r="AD48" i="2"/>
  <c r="AO60" i="2"/>
  <c r="AO61" i="2" s="1"/>
  <c r="AO62" i="2" s="1"/>
  <c r="AO55" i="2"/>
  <c r="AO57" i="2" s="1"/>
  <c r="AE60" i="2" l="1"/>
  <c r="AE61" i="2" s="1"/>
  <c r="AE62" i="2" s="1"/>
  <c r="AE55" i="2"/>
  <c r="AE57" i="2" s="1"/>
  <c r="H56" i="6"/>
  <c r="L45" i="9" l="1"/>
  <c r="L44" i="9"/>
  <c r="C10" i="9"/>
  <c r="C8" i="9"/>
  <c r="H15" i="9"/>
  <c r="H14" i="9"/>
  <c r="H13" i="9"/>
  <c r="H40" i="9"/>
  <c r="H38" i="9"/>
  <c r="G40" i="9"/>
  <c r="G38" i="9"/>
  <c r="H9" i="9"/>
  <c r="H7" i="9"/>
  <c r="G30" i="9"/>
  <c r="G29" i="9"/>
  <c r="G28" i="9"/>
  <c r="H46" i="9"/>
  <c r="H45" i="9"/>
  <c r="H44" i="9"/>
  <c r="L25" i="9"/>
  <c r="K24" i="9"/>
  <c r="K22" i="9"/>
  <c r="C41" i="9"/>
  <c r="C39" i="9"/>
  <c r="K15" i="9"/>
  <c r="K14" i="9"/>
  <c r="K13" i="9"/>
  <c r="I40" i="9"/>
  <c r="I38" i="9"/>
  <c r="E13" i="9"/>
  <c r="E14" i="9"/>
  <c r="E15" i="9"/>
  <c r="H30" i="9"/>
  <c r="H29" i="9"/>
  <c r="H28" i="9"/>
  <c r="I41" i="9"/>
  <c r="G9" i="9"/>
  <c r="G7" i="9"/>
  <c r="B10" i="9"/>
  <c r="G24" i="9"/>
  <c r="G22" i="9"/>
  <c r="B28" i="9"/>
  <c r="B29" i="9"/>
  <c r="B30" i="9"/>
  <c r="I30" i="9"/>
  <c r="I29" i="9"/>
  <c r="I28" i="9"/>
  <c r="C25" i="9"/>
  <c r="C23" i="9"/>
  <c r="K41" i="9"/>
  <c r="J40" i="9"/>
  <c r="J38" i="9"/>
  <c r="K40" i="9"/>
  <c r="K38" i="9"/>
  <c r="F46" i="9"/>
  <c r="F45" i="9"/>
  <c r="F44" i="9"/>
  <c r="J9" i="9"/>
  <c r="J7" i="9"/>
  <c r="E40" i="9"/>
  <c r="E38" i="9"/>
  <c r="I24" i="9"/>
  <c r="I22" i="9"/>
  <c r="F9" i="9"/>
  <c r="F7" i="9"/>
  <c r="E10" i="9"/>
  <c r="L9" i="9"/>
  <c r="L24" i="9"/>
  <c r="I9" i="9"/>
  <c r="I7" i="9"/>
  <c r="G13" i="9"/>
  <c r="G14" i="9"/>
  <c r="G15" i="9"/>
  <c r="L22" i="9"/>
  <c r="L23" i="9"/>
  <c r="L28" i="9"/>
  <c r="L29" i="9"/>
  <c r="G23" i="9"/>
  <c r="G25" i="9"/>
  <c r="E41" i="9"/>
  <c r="K28" i="9"/>
  <c r="K29" i="9"/>
  <c r="K30" i="9"/>
  <c r="E24" i="9"/>
  <c r="E22" i="9"/>
  <c r="E25" i="9"/>
  <c r="J24" i="9"/>
  <c r="J22" i="9"/>
  <c r="F30" i="9"/>
  <c r="F29" i="9"/>
  <c r="F28" i="9"/>
  <c r="E44" i="9"/>
  <c r="E45" i="9"/>
  <c r="E46" i="9"/>
  <c r="K23" i="9"/>
  <c r="K25" i="9"/>
  <c r="H8" i="9"/>
  <c r="H10" i="9"/>
  <c r="I39" i="9"/>
  <c r="I44" i="9"/>
  <c r="I45" i="9"/>
  <c r="I46" i="9"/>
  <c r="E8" i="9"/>
  <c r="B8" i="9"/>
  <c r="B13" i="9"/>
  <c r="B14" i="9"/>
  <c r="B15" i="9"/>
  <c r="L10" i="9"/>
  <c r="J45" i="9"/>
  <c r="J44" i="9"/>
  <c r="I13" i="9"/>
  <c r="I14" i="9"/>
  <c r="I15" i="9"/>
  <c r="B41" i="9"/>
  <c r="B23" i="9"/>
  <c r="B25" i="9"/>
  <c r="G41" i="9"/>
  <c r="H24" i="9"/>
  <c r="H22" i="9"/>
  <c r="K8" i="9"/>
  <c r="K10" i="9"/>
  <c r="H23" i="9"/>
  <c r="H25" i="9"/>
  <c r="J25" i="9"/>
  <c r="I23" i="9"/>
  <c r="I25" i="9"/>
  <c r="K39" i="9"/>
  <c r="K44" i="9"/>
  <c r="K45" i="9"/>
  <c r="K46" i="9"/>
  <c r="F40" i="9"/>
  <c r="F38" i="9"/>
  <c r="F15" i="9"/>
  <c r="F14" i="9"/>
  <c r="F13" i="9"/>
  <c r="F39" i="9"/>
  <c r="F41" i="9"/>
  <c r="F8" i="9"/>
  <c r="F10" i="9"/>
  <c r="E23" i="9"/>
  <c r="E28" i="9"/>
  <c r="E29" i="9"/>
  <c r="E30" i="9"/>
  <c r="L7" i="9"/>
  <c r="L8" i="9"/>
  <c r="L13" i="9"/>
  <c r="L14" i="9"/>
  <c r="E9" i="9"/>
  <c r="E7" i="9"/>
  <c r="J23" i="9"/>
  <c r="J28" i="9"/>
  <c r="J29" i="9"/>
  <c r="L40" i="9"/>
  <c r="J14" i="9"/>
  <c r="J13" i="9"/>
  <c r="K9" i="9"/>
  <c r="K7" i="9"/>
  <c r="J39" i="9"/>
  <c r="J41" i="9"/>
  <c r="L38" i="9"/>
  <c r="L39" i="9"/>
  <c r="L41" i="9"/>
  <c r="F23" i="9"/>
  <c r="F25" i="9"/>
  <c r="H39" i="9"/>
  <c r="H41" i="9"/>
  <c r="G8" i="9"/>
  <c r="G10" i="9"/>
  <c r="E39" i="9"/>
  <c r="B39" i="9"/>
  <c r="B44" i="9"/>
  <c r="B45" i="9"/>
  <c r="B46" i="9"/>
  <c r="J8" i="9"/>
  <c r="J10" i="9"/>
  <c r="F24" i="9"/>
  <c r="F22" i="9"/>
  <c r="I8" i="9"/>
  <c r="I10" i="9"/>
  <c r="C22" i="9"/>
  <c r="C38" i="9"/>
  <c r="C7" i="9"/>
  <c r="G39" i="9"/>
  <c r="G44" i="9"/>
  <c r="G45" i="9"/>
  <c r="G46" i="9"/>
</calcChain>
</file>

<file path=xl/sharedStrings.xml><?xml version="1.0" encoding="utf-8"?>
<sst xmlns="http://schemas.openxmlformats.org/spreadsheetml/2006/main" count="2229" uniqueCount="324">
  <si>
    <t>LUNDI</t>
  </si>
  <si>
    <t>MARDI</t>
  </si>
  <si>
    <t>MERCREDI</t>
  </si>
  <si>
    <t>JEUDI</t>
  </si>
  <si>
    <t>VENDREDI</t>
  </si>
  <si>
    <t>Audiences civiles</t>
  </si>
  <si>
    <t>CAP</t>
  </si>
  <si>
    <t>Débats milieu fermé</t>
  </si>
  <si>
    <t>T Com</t>
  </si>
  <si>
    <t>CRPC</t>
  </si>
  <si>
    <t>IT</t>
  </si>
  <si>
    <t>9h</t>
  </si>
  <si>
    <t>13h30</t>
  </si>
  <si>
    <t>Audiences contraintes judiciaires</t>
  </si>
  <si>
    <t xml:space="preserve"> 13h30</t>
  </si>
  <si>
    <t>11ème JU - Route</t>
  </si>
  <si>
    <t xml:space="preserve">12ème Coll – Stup </t>
  </si>
  <si>
    <t>13ème JU  - Famille</t>
  </si>
  <si>
    <t>15ème Coll – Ecofi</t>
  </si>
  <si>
    <t>16ème – comparutions immédiates</t>
  </si>
  <si>
    <t>17ème Coll Pénal G ou Travail</t>
  </si>
  <si>
    <t>18ème JU - Pénal général</t>
  </si>
  <si>
    <t xml:space="preserve">18ème Coll - Pénal général </t>
  </si>
  <si>
    <t>20ème JU - Pénal général</t>
  </si>
  <si>
    <t>20ème Coll – Mineurs</t>
  </si>
  <si>
    <t>17ème JU - Pénal général ou urban.</t>
  </si>
  <si>
    <t>TGI Procédures collectivs</t>
  </si>
  <si>
    <t>9h30</t>
  </si>
  <si>
    <t>14ème Coll – Ecofi/Presse</t>
  </si>
  <si>
    <t>14h</t>
  </si>
  <si>
    <t>Débats milieu ouvert/Aud. JA</t>
  </si>
  <si>
    <t>SG</t>
  </si>
  <si>
    <t>20ème JU - Violences conjugales</t>
  </si>
  <si>
    <t>S</t>
  </si>
  <si>
    <t>12ème JU - Pénal général</t>
  </si>
  <si>
    <t>TPE</t>
  </si>
  <si>
    <t>13h31</t>
  </si>
  <si>
    <t>T.Police</t>
  </si>
  <si>
    <t>2/3</t>
  </si>
  <si>
    <t>mois 4 semaines</t>
  </si>
  <si>
    <t>mois 5 semaines</t>
  </si>
  <si>
    <t>jours ouvrables</t>
  </si>
  <si>
    <t>1/2 jour congés</t>
  </si>
  <si>
    <t>total 1/2 journées cabinet</t>
  </si>
  <si>
    <t>DEF</t>
  </si>
  <si>
    <t>PMF</t>
  </si>
  <si>
    <t>EP</t>
  </si>
  <si>
    <t>Civil</t>
  </si>
  <si>
    <t>A</t>
  </si>
  <si>
    <t>E</t>
  </si>
  <si>
    <t>M</t>
  </si>
  <si>
    <t>C</t>
  </si>
  <si>
    <t>G</t>
  </si>
  <si>
    <t>P</t>
  </si>
  <si>
    <t>1/2 journées ouvrables</t>
  </si>
  <si>
    <t>PH</t>
  </si>
  <si>
    <t>total 1/2 journées magistrat</t>
  </si>
  <si>
    <t>1/2 JLD-nuits semaine / PH</t>
  </si>
  <si>
    <t>jours travaillés par an</t>
  </si>
  <si>
    <t>1/2 jours de congés par mois (moy.)</t>
  </si>
  <si>
    <t>1/2 préparation audiences</t>
  </si>
  <si>
    <t>1/2 j d'audiences (Tcorr, TPE, Tpol, Tcom.)</t>
  </si>
  <si>
    <t>1/2 jour perm. de semaine</t>
  </si>
  <si>
    <t>Nombre ETPT de perm/audiences</t>
  </si>
  <si>
    <t>1/2 journées de récups WE</t>
  </si>
  <si>
    <t>1/2 jours de récups nuits</t>
  </si>
  <si>
    <t>TOTAL (1/2 journées)</t>
  </si>
  <si>
    <t>1/2 cab/magistrat</t>
  </si>
  <si>
    <t>Nombre de jours de cab/mois/mag.</t>
  </si>
  <si>
    <t>½ journées d’audiences spéciales/assises supplémentaires</t>
  </si>
  <si>
    <t>Tableau de répartition des audiences entre les divisions du parquet (février 2022)</t>
  </si>
  <si>
    <t>Nombre d'ETPT mag. parquet (avec 3 SP)</t>
  </si>
  <si>
    <t>PAP (6+2 SP)</t>
  </si>
  <si>
    <t>PAP (6)</t>
  </si>
  <si>
    <t>avec Renfort MH</t>
  </si>
  <si>
    <t>jours par mois (moyenne)</t>
  </si>
  <si>
    <t>jours de WE/férié par mois</t>
  </si>
  <si>
    <t xml:space="preserve">MOIS De </t>
  </si>
  <si>
    <t>Perm. Prélim</t>
  </si>
  <si>
    <t>Renfort</t>
  </si>
  <si>
    <t>semaines travaillées</t>
  </si>
  <si>
    <t>demi-journées par an</t>
  </si>
  <si>
    <t>1/2 jour perm. Prélim. et renfort PMF</t>
  </si>
  <si>
    <t>Nombre ETPT de perm nuits et WE</t>
  </si>
  <si>
    <t>Vac. MH</t>
  </si>
  <si>
    <t>ETPT</t>
  </si>
  <si>
    <t>COFAC (1SP)</t>
  </si>
  <si>
    <t>PAP (6+1 CP)</t>
  </si>
  <si>
    <t>Parquet (3 SP)</t>
  </si>
  <si>
    <t>TOTAL charges (1/2 journées)</t>
  </si>
  <si>
    <t>1/2 journée perm/mag.</t>
  </si>
  <si>
    <t>Année</t>
  </si>
  <si>
    <t>jours</t>
  </si>
  <si>
    <t xml:space="preserve">hors Mut : </t>
  </si>
  <si>
    <t>ETPT audience</t>
  </si>
  <si>
    <t>ETPT permanence</t>
  </si>
  <si>
    <t>20ème Coll - Famille</t>
  </si>
  <si>
    <t>COFAC</t>
  </si>
  <si>
    <t>PCC</t>
  </si>
  <si>
    <t>PAP</t>
  </si>
  <si>
    <t>ETPT mag. Parquet</t>
  </si>
  <si>
    <t>ETPT de perm/audiences</t>
  </si>
  <si>
    <t>PRA</t>
  </si>
  <si>
    <t>PRACHE</t>
  </si>
  <si>
    <t>Pascal</t>
  </si>
  <si>
    <t>FOY</t>
  </si>
  <si>
    <t>Nathalie</t>
  </si>
  <si>
    <t>OUALID</t>
  </si>
  <si>
    <t>Jean-Pascal</t>
  </si>
  <si>
    <t>LOLLIC</t>
  </si>
  <si>
    <t>Hervé</t>
  </si>
  <si>
    <t>GONTRAN</t>
  </si>
  <si>
    <t>Caroline</t>
  </si>
  <si>
    <t>DENEUX</t>
  </si>
  <si>
    <t>Virginie</t>
  </si>
  <si>
    <t>ALLAIN</t>
  </si>
  <si>
    <t>Emmanuelle</t>
  </si>
  <si>
    <t>ASCH</t>
  </si>
  <si>
    <t>Clara</t>
  </si>
  <si>
    <t>AUGUSTIN</t>
  </si>
  <si>
    <t>Matthieu</t>
  </si>
  <si>
    <t>BRION</t>
  </si>
  <si>
    <t>Céline</t>
  </si>
  <si>
    <t>BRUNIN</t>
  </si>
  <si>
    <t>Laetitia</t>
  </si>
  <si>
    <t>Marion</t>
  </si>
  <si>
    <t>CHALAUX</t>
  </si>
  <si>
    <t>CLAUDE</t>
  </si>
  <si>
    <t>Solaine</t>
  </si>
  <si>
    <t>DELFOSSE</t>
  </si>
  <si>
    <t>Marie-Emilie</t>
  </si>
  <si>
    <t>DIANZINGA</t>
  </si>
  <si>
    <t>Perside</t>
  </si>
  <si>
    <t>DOUSSET</t>
  </si>
  <si>
    <t>Astrid</t>
  </si>
  <si>
    <t>EBER</t>
  </si>
  <si>
    <t>Lucile</t>
  </si>
  <si>
    <t>FUSINA</t>
  </si>
  <si>
    <t>Alice</t>
  </si>
  <si>
    <t>GILLARD</t>
  </si>
  <si>
    <t>Frédéric</t>
  </si>
  <si>
    <t>HOURANTIER</t>
  </si>
  <si>
    <t>Emanuelle</t>
  </si>
  <si>
    <t>JULIE</t>
  </si>
  <si>
    <t>Hugues</t>
  </si>
  <si>
    <t>KARATAS</t>
  </si>
  <si>
    <t>Gussun</t>
  </si>
  <si>
    <t>LACHKAR</t>
  </si>
  <si>
    <t>Ilana</t>
  </si>
  <si>
    <t>LANDEMARRE</t>
  </si>
  <si>
    <t>Déborah</t>
  </si>
  <si>
    <t>LARCHER</t>
  </si>
  <si>
    <t>Aurélie</t>
  </si>
  <si>
    <t>LEBRETON</t>
  </si>
  <si>
    <t>Thomas</t>
  </si>
  <si>
    <t>MACCARINELLI</t>
  </si>
  <si>
    <t>Elliott</t>
  </si>
  <si>
    <t>MARTIN</t>
  </si>
  <si>
    <t>Anne-Gaëlle</t>
  </si>
  <si>
    <t>MERVILLE</t>
  </si>
  <si>
    <t>Anne-Dominique</t>
  </si>
  <si>
    <t>MEVELLEC</t>
  </si>
  <si>
    <t>Laouen</t>
  </si>
  <si>
    <t>MONNIER</t>
  </si>
  <si>
    <t>PETIT</t>
  </si>
  <si>
    <t>Pauline-Elise</t>
  </si>
  <si>
    <t>POTTIER</t>
  </si>
  <si>
    <t>Stéphanie</t>
  </si>
  <si>
    <t>POUZET</t>
  </si>
  <si>
    <t>Mathilde</t>
  </si>
  <si>
    <t>YASMINEH</t>
  </si>
  <si>
    <t>Manuel</t>
  </si>
  <si>
    <t>ZASOVA</t>
  </si>
  <si>
    <t>Svetlana</t>
  </si>
  <si>
    <t>BOTTINI</t>
  </si>
  <si>
    <t>Karine</t>
  </si>
  <si>
    <t>LEFEVRE</t>
  </si>
  <si>
    <t>Pauline</t>
  </si>
  <si>
    <t>SIEGRIST</t>
  </si>
  <si>
    <t>Camille</t>
  </si>
  <si>
    <t>QUELARD</t>
  </si>
  <si>
    <t>Cyril</t>
  </si>
  <si>
    <t>TROUIN</t>
  </si>
  <si>
    <t>Mathis</t>
  </si>
  <si>
    <t>P. Civil</t>
  </si>
  <si>
    <t>PEP-EPI</t>
  </si>
  <si>
    <t>PCSNE</t>
  </si>
  <si>
    <t>GERAUD Julia</t>
  </si>
  <si>
    <t>LEGOFF Margaux</t>
  </si>
  <si>
    <t>Remplacement</t>
  </si>
  <si>
    <t>Alice FUSINA</t>
  </si>
  <si>
    <t xml:space="preserve">Remplacement </t>
  </si>
  <si>
    <t>Thomas LEBRETON</t>
  </si>
  <si>
    <t>Surnombre Concours complémentaire</t>
  </si>
  <si>
    <t>Remplacement Gérald BEGRANGER</t>
  </si>
  <si>
    <t>Surnombre Auditeur Justice</t>
  </si>
  <si>
    <t>SP</t>
  </si>
  <si>
    <t>Septembre</t>
  </si>
  <si>
    <t>Octobre</t>
  </si>
  <si>
    <t>Novembre</t>
  </si>
  <si>
    <t>Décembre</t>
  </si>
  <si>
    <t>Besoin SP</t>
  </si>
  <si>
    <t>Absente</t>
  </si>
  <si>
    <t>0,50 (arrivée 18/09)</t>
  </si>
  <si>
    <t>TP 0,80 (18/09)</t>
  </si>
  <si>
    <t>21ème JO 2024</t>
  </si>
  <si>
    <t>Effectif théorique</t>
  </si>
  <si>
    <t>TOTAL PAP</t>
  </si>
  <si>
    <t>TOTAL DEF</t>
  </si>
  <si>
    <t>TOTAL PMF</t>
  </si>
  <si>
    <t>TOTAL P. Civil</t>
  </si>
  <si>
    <t>TOTAL COFAC</t>
  </si>
  <si>
    <t>TOTAL PEP</t>
  </si>
  <si>
    <t>TOTAL PCSNE</t>
  </si>
  <si>
    <t>Effectif théorique + 1 SP</t>
  </si>
  <si>
    <t>Tableau de répartition des audiences entre les divisions du parquet (mars 2024)</t>
  </si>
  <si>
    <t>N</t>
  </si>
  <si>
    <t>11 JU</t>
  </si>
  <si>
    <t>12 JU</t>
  </si>
  <si>
    <t>13 JU</t>
  </si>
  <si>
    <t>17 JU</t>
  </si>
  <si>
    <t>18 JU</t>
  </si>
  <si>
    <t>20 JU</t>
  </si>
  <si>
    <t>20 Coll</t>
  </si>
  <si>
    <t>21 Coll</t>
  </si>
  <si>
    <t>12 Coll</t>
  </si>
  <si>
    <t>14 Coll</t>
  </si>
  <si>
    <t>15 Coll</t>
  </si>
  <si>
    <t>16 – CI</t>
  </si>
  <si>
    <t>17 Coll</t>
  </si>
  <si>
    <t>18 Coll</t>
  </si>
  <si>
    <t>Aud. Civ.</t>
  </si>
  <si>
    <t>DCMO</t>
  </si>
  <si>
    <t>DCMF</t>
  </si>
  <si>
    <t>CJ</t>
  </si>
  <si>
    <t>TJ</t>
  </si>
  <si>
    <t>Tableau de répartition des audiences entre les divisions du parquet (réforme audiencement 2025)</t>
  </si>
  <si>
    <t>11 Coll</t>
  </si>
  <si>
    <t>14 JU</t>
  </si>
  <si>
    <t>15 JU</t>
  </si>
  <si>
    <t>Charge aud./mag.</t>
  </si>
  <si>
    <t>1 JU = 1 audience civile = 1 CAP/DCMF = 1 TPE (d’une demi-journée) = 1 journée</t>
  </si>
  <si>
    <t>D5 : A voir les CAP LSC = 1 jour</t>
  </si>
  <si>
    <t>1 CRPC = 1 Tpol = 1 audience procédures collectives TJ = 0,5 journée</t>
  </si>
  <si>
    <t>1 Tcom = 1 CAP = 0,75 journée</t>
  </si>
  <si>
    <t>1 Coll = 1,5 journées</t>
  </si>
  <si>
    <t>1 CI = 1,25 journée (compte tenu de la tardiveté)</t>
  </si>
  <si>
    <t>1 journée d’assises = 2 jour (1 jour de prépa + 1 jour d’audience si le parquetier n’est pas le régleur= ou 1,5 jour (si c’est le régleur)</t>
  </si>
  <si>
    <t>Audiences spéciales : même calcul que pour les journées d’assises ?</t>
  </si>
  <si>
    <t>Pondération (jour)</t>
  </si>
  <si>
    <t>Ch. aud. pond./mag.</t>
  </si>
  <si>
    <t>PR</t>
  </si>
  <si>
    <t>Jours de cab/mois/mag.</t>
  </si>
  <si>
    <t xml:space="preserve">Parquet </t>
  </si>
  <si>
    <t>total 1/2 journées (hors Hier.)</t>
  </si>
  <si>
    <t>Situation actuelle 2024</t>
  </si>
  <si>
    <t>Réforme canevas des audiences 2025</t>
  </si>
  <si>
    <t>Proposition de rééquilibrage 2025</t>
  </si>
  <si>
    <t>Pondération :</t>
  </si>
  <si>
    <t xml:space="preserve">Pondération : </t>
  </si>
  <si>
    <t>T.Pol</t>
  </si>
  <si>
    <t>Pciv</t>
  </si>
  <si>
    <t>Pond.</t>
  </si>
  <si>
    <t>20 : 1 JU en moins et 1,3 Coll en plus</t>
  </si>
  <si>
    <t>Tableau de répartition des audiences entre les divisions du parquet (réforme janvier 2025)</t>
  </si>
  <si>
    <t>?</t>
  </si>
  <si>
    <t>Audience résevée au COFAC mois impairs</t>
  </si>
  <si>
    <t>Non arbitré dans le protocole audiencement V4</t>
  </si>
  <si>
    <t>Audiences infractions commises par FSI</t>
  </si>
  <si>
    <t>V</t>
  </si>
  <si>
    <t>A ou S</t>
  </si>
  <si>
    <t>M ou S</t>
  </si>
  <si>
    <t>V. Deneux</t>
  </si>
  <si>
    <t>JP Oualid</t>
  </si>
  <si>
    <t>J</t>
  </si>
  <si>
    <r>
      <t>Je propose de récupérer les JU de la 20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le jeudi matin ce qui permet une mutualisation des audiences au sein de la division.  </t>
    </r>
  </si>
  <si>
    <r>
      <t>Si le PAP demande une compensation, dès lors que nous n’assurons plus les audiences du jeudi de la 18</t>
    </r>
    <r>
      <rPr>
        <vertAlign val="superscript"/>
        <sz val="11"/>
        <color theme="1"/>
        <rFont val="Calibri"/>
        <family val="2"/>
        <scheme val="minor"/>
      </rPr>
      <t xml:space="preserve">ème </t>
    </r>
    <r>
      <rPr>
        <sz val="11"/>
        <color theme="1"/>
        <rFont val="Calibri"/>
        <family val="2"/>
        <scheme val="minor"/>
      </rPr>
      <t>, nous pouvons prendre une CI un mercredi ou celle du vendredi restant au PAP éventuellement.</t>
    </r>
  </si>
  <si>
    <t xml:space="preserve">Il n’est pas possible pour le COFAC de prendre des audiences juge unique du matin sur les jeudis et vendredis qui sont les jours d’audiences collégiales de la 12ème chambre. </t>
  </si>
  <si>
    <t>Propose donc que le COFAC prenne 3 audiences juge unique 18ème chambre les 1ers 3èmes et 4èmes mercredis du mois. (avec toujours cet impossibilité du 2ème mercredi qui correspond à une audience collégiale de la 12ème).</t>
  </si>
  <si>
    <t xml:space="preserve">HL : Le PAP n’est pas opposé dans le cadre de la redistribution des 3 audiences que je souhaitais, qu’il s’agisse de deux des audiences JU18 qu’évoque Jean Pascal </t>
  </si>
  <si>
    <t>Les 20è JU du jeudi matin au pôle civil qui peut prendre les 2 CI du mercredi du PAP</t>
  </si>
  <si>
    <t>Restent le 20 JU du mardi qui devraient basculer au PAP puisque le COFAC proposent de prendre des 18JU du mercredi</t>
  </si>
  <si>
    <t>V. D : En complément donc la 20JU du 2ème mercredi c’est la foraine donc je la prends pour moi</t>
  </si>
  <si>
    <r>
      <t>Le PMF et VD assureront les 20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coll du mercredi</t>
    </r>
  </si>
  <si>
    <t>3,5 audiences en plus pour le PAP. Redéploiement sur d'autres divisions des CI des 1er lundi, 1er et 3ème mercredis</t>
  </si>
  <si>
    <r>
      <t>Nous perdons une audience au global (42 contre 41) donc je te propose de prendre la 18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JU du 1</t>
    </r>
    <r>
      <rPr>
        <vertAlign val="superscript"/>
        <sz val="11"/>
        <color theme="1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 xml:space="preserve"> vendredi du mois pour compenser et ainsi contribuer à ce que le COFAC n’ait pas deux audiences ce jour-là.</t>
    </r>
  </si>
  <si>
    <t>Décompte Proposition</t>
  </si>
  <si>
    <t>Décompte Actuel</t>
  </si>
  <si>
    <t>JP Oualid - Presse</t>
  </si>
  <si>
    <t>1/2 j d'audiences Coll et CI</t>
  </si>
  <si>
    <t>1/2 j d'audiences au total</t>
  </si>
  <si>
    <t>1/2 j d'aud. JU, CRPC, TPE, Tpol, Tcom</t>
  </si>
  <si>
    <t>1/2 jour perm. (en semaine)</t>
  </si>
  <si>
    <t>1/2 cab/magistrat (perm. Prélim. Incluse)</t>
  </si>
  <si>
    <t>JPO</t>
  </si>
  <si>
    <t>Attributions des PRA :</t>
  </si>
  <si>
    <t>Avec pondération</t>
  </si>
  <si>
    <t>3,5 CRPC + 1 audience</t>
  </si>
  <si>
    <t>PRA-D1</t>
  </si>
  <si>
    <t>2 CI+ 1 Coll 18ème ou 4 jours de permanence 1ère ligne</t>
  </si>
  <si>
    <t>PRA-D2</t>
  </si>
  <si>
    <t>2 Tcom + 2 aud. Proc. Coll. Civ. + 1 Coll 15ème</t>
  </si>
  <si>
    <t>PRA-D3</t>
  </si>
  <si>
    <t>CI 4ème jeudi, 20ème Coll (PMF) + 1 CI par mois jeudi pour le pôle civil</t>
  </si>
  <si>
    <t>PRA-D4</t>
  </si>
  <si>
    <t>14ème Coll Presse + 3 collégiales/spéciales +  1  JU + 0.5 CRPC + 0.3 CI</t>
  </si>
  <si>
    <t>PRA-D5</t>
  </si>
  <si>
    <t xml:space="preserve">1 CI, 1 DCMF + 1 DCMO </t>
  </si>
  <si>
    <t>1 CI/mois (2ème vendredi)</t>
  </si>
  <si>
    <r>
      <t xml:space="preserve">1 CI = </t>
    </r>
    <r>
      <rPr>
        <sz val="11"/>
        <color rgb="FFFF0000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 xml:space="preserve"> journée (compte tenu de la tardiveté)</t>
    </r>
  </si>
  <si>
    <t>Occurrence 5ème du mois/2025 :</t>
  </si>
  <si>
    <t>MP</t>
  </si>
  <si>
    <t>M. PARMENTIER</t>
  </si>
  <si>
    <t>JPO-Presse</t>
  </si>
  <si>
    <t xml:space="preserve"> </t>
  </si>
  <si>
    <t>Tableau de répartition des audiences entre les divisions du parquet</t>
  </si>
  <si>
    <t>Audiences infractions commises par FSI (V. DENEUX)</t>
  </si>
  <si>
    <t>Audiences infractions droit de la presse (JP OUALID)</t>
  </si>
  <si>
    <t>1 CI = 1,5 journée (compte tenu de la tardiveté)</t>
  </si>
  <si>
    <t>Avec pdt°</t>
  </si>
  <si>
    <t>3 audiences Coll FSI</t>
  </si>
  <si>
    <t>MTT</t>
  </si>
  <si>
    <t>MTT - P. LEMOINE</t>
  </si>
  <si>
    <t>2 aud. 17ème Coll Presse + 2 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</si>
</sst>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.0\ _€_-;\-* #,##0.0\ _€_-;_-* &quot;-&quot;??\ _€_-;_-@_-"/>
    <numFmt numFmtId="166" formatCode="0.00000000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F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9900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indexed="24"/>
        <bgColor indexed="46"/>
      </patternFill>
    </fill>
    <fill>
      <patternFill patternType="solid">
        <fgColor indexed="45"/>
        <bgColor indexed="29"/>
      </patternFill>
    </fill>
    <fill>
      <patternFill patternType="solid">
        <fgColor rgb="FF009999"/>
        <bgColor indexed="46"/>
      </patternFill>
    </fill>
    <fill>
      <patternFill patternType="solid">
        <fgColor rgb="FFFFFF00"/>
        <bgColor indexed="46"/>
      </patternFill>
    </fill>
    <fill>
      <patternFill patternType="solid">
        <fgColor rgb="FF92D050"/>
        <bgColor indexed="49"/>
      </patternFill>
    </fill>
    <fill>
      <patternFill patternType="solid">
        <fgColor rgb="FF99FF6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2" borderId="2" xfId="0" applyFill="1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1" xfId="0" applyFill="1" applyBorder="1"/>
    <xf numFmtId="0" fontId="0" fillId="0" borderId="11" xfId="0" applyBorder="1" applyAlignment="1">
      <alignment wrapText="1"/>
    </xf>
    <xf numFmtId="0" fontId="0" fillId="5" borderId="5" xfId="0" applyFill="1" applyBorder="1"/>
    <xf numFmtId="0" fontId="0" fillId="5" borderId="2" xfId="0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6" xfId="0" applyFill="1" applyBorder="1"/>
    <xf numFmtId="0" fontId="0" fillId="0" borderId="3" xfId="0" applyBorder="1"/>
    <xf numFmtId="0" fontId="0" fillId="6" borderId="4" xfId="0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1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0" borderId="12" xfId="0" applyBorder="1"/>
    <xf numFmtId="0" fontId="0" fillId="6" borderId="11" xfId="0" applyFill="1" applyBorder="1"/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6" xfId="0" applyBorder="1" applyAlignment="1">
      <alignment horizontal="center"/>
    </xf>
    <xf numFmtId="0" fontId="0" fillId="8" borderId="2" xfId="0" applyFill="1" applyBorder="1"/>
    <xf numFmtId="0" fontId="0" fillId="8" borderId="1" xfId="0" applyFill="1" applyBorder="1" applyAlignment="1">
      <alignment wrapText="1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2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4" xfId="0" applyBorder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2" fillId="0" borderId="21" xfId="0" applyFont="1" applyBorder="1"/>
    <xf numFmtId="0" fontId="2" fillId="0" borderId="22" xfId="0" applyFont="1" applyBorder="1" applyAlignment="1">
      <alignment wrapText="1"/>
    </xf>
    <xf numFmtId="0" fontId="0" fillId="0" borderId="23" xfId="0" applyBorder="1"/>
    <xf numFmtId="0" fontId="0" fillId="0" borderId="24" xfId="0" applyBorder="1" applyAlignment="1">
      <alignment wrapText="1"/>
    </xf>
    <xf numFmtId="0" fontId="3" fillId="0" borderId="0" xfId="0" applyFont="1" applyAlignment="1">
      <alignment vertical="center"/>
    </xf>
    <xf numFmtId="0" fontId="0" fillId="9" borderId="5" xfId="0" applyFill="1" applyBorder="1"/>
    <xf numFmtId="0" fontId="0" fillId="9" borderId="2" xfId="0" applyFill="1" applyBorder="1"/>
    <xf numFmtId="0" fontId="0" fillId="9" borderId="6" xfId="0" applyFill="1" applyBorder="1"/>
    <xf numFmtId="0" fontId="0" fillId="9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/>
    </xf>
    <xf numFmtId="0" fontId="0" fillId="11" borderId="2" xfId="0" applyFill="1" applyBorder="1"/>
    <xf numFmtId="0" fontId="0" fillId="11" borderId="4" xfId="0" applyFill="1" applyBorder="1"/>
    <xf numFmtId="0" fontId="0" fillId="4" borderId="4" xfId="0" applyFill="1" applyBorder="1"/>
    <xf numFmtId="0" fontId="0" fillId="4" borderId="19" xfId="0" applyFill="1" applyBorder="1"/>
    <xf numFmtId="0" fontId="0" fillId="4" borderId="20" xfId="0" applyFill="1" applyBorder="1"/>
    <xf numFmtId="0" fontId="0" fillId="12" borderId="16" xfId="0" applyFill="1" applyBorder="1"/>
    <xf numFmtId="0" fontId="0" fillId="0" borderId="25" xfId="0" applyBorder="1" applyAlignment="1">
      <alignment wrapText="1"/>
    </xf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16" xfId="0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0" fillId="12" borderId="5" xfId="0" applyFill="1" applyBorder="1"/>
    <xf numFmtId="0" fontId="0" fillId="12" borderId="7" xfId="0" applyFill="1" applyBorder="1"/>
    <xf numFmtId="0" fontId="0" fillId="0" borderId="10" xfId="0" applyBorder="1" applyAlignment="1">
      <alignment wrapText="1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0" xfId="0" applyBorder="1"/>
    <xf numFmtId="0" fontId="0" fillId="2" borderId="28" xfId="0" applyFill="1" applyBorder="1"/>
    <xf numFmtId="0" fontId="0" fillId="3" borderId="3" xfId="0" applyFill="1" applyBorder="1"/>
    <xf numFmtId="0" fontId="2" fillId="7" borderId="2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4" fillId="0" borderId="17" xfId="0" applyFont="1" applyBorder="1"/>
    <xf numFmtId="0" fontId="0" fillId="9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0" borderId="2" xfId="0" applyBorder="1" applyAlignment="1"/>
    <xf numFmtId="0" fontId="4" fillId="0" borderId="2" xfId="0" applyFont="1" applyBorder="1" applyAlignment="1"/>
    <xf numFmtId="0" fontId="0" fillId="0" borderId="6" xfId="0" applyBorder="1" applyAlignment="1"/>
    <xf numFmtId="0" fontId="4" fillId="0" borderId="6" xfId="0" applyFont="1" applyBorder="1" applyAlignment="1"/>
    <xf numFmtId="0" fontId="5" fillId="13" borderId="2" xfId="0" applyFont="1" applyFill="1" applyBorder="1" applyAlignment="1"/>
    <xf numFmtId="0" fontId="5" fillId="13" borderId="6" xfId="0" applyFont="1" applyFill="1" applyBorder="1" applyAlignment="1"/>
    <xf numFmtId="43" fontId="4" fillId="0" borderId="2" xfId="1" applyFont="1" applyBorder="1" applyAlignment="1"/>
    <xf numFmtId="43" fontId="1" fillId="0" borderId="2" xfId="1" applyFont="1" applyBorder="1" applyAlignment="1"/>
    <xf numFmtId="43" fontId="4" fillId="0" borderId="6" xfId="1" applyFont="1" applyBorder="1" applyAlignment="1"/>
    <xf numFmtId="43" fontId="1" fillId="13" borderId="2" xfId="1" applyFont="1" applyFill="1" applyBorder="1" applyAlignment="1"/>
    <xf numFmtId="43" fontId="1" fillId="13" borderId="6" xfId="1" applyFont="1" applyFill="1" applyBorder="1" applyAlignment="1"/>
    <xf numFmtId="0" fontId="4" fillId="14" borderId="29" xfId="0" applyFont="1" applyFill="1" applyBorder="1" applyAlignment="1">
      <alignment vertical="center" wrapText="1"/>
    </xf>
    <xf numFmtId="0" fontId="0" fillId="0" borderId="28" xfId="0" applyBorder="1" applyAlignment="1"/>
    <xf numFmtId="0" fontId="4" fillId="0" borderId="28" xfId="0" applyFont="1" applyBorder="1" applyAlignment="1"/>
    <xf numFmtId="0" fontId="5" fillId="13" borderId="28" xfId="0" applyFont="1" applyFill="1" applyBorder="1" applyAlignment="1"/>
    <xf numFmtId="43" fontId="1" fillId="0" borderId="28" xfId="1" applyFont="1" applyBorder="1" applyAlignment="1"/>
    <xf numFmtId="43" fontId="4" fillId="0" borderId="28" xfId="1" applyFont="1" applyBorder="1" applyAlignment="1"/>
    <xf numFmtId="43" fontId="1" fillId="13" borderId="28" xfId="1" applyFont="1" applyFill="1" applyBorder="1" applyAlignment="1"/>
    <xf numFmtId="0" fontId="4" fillId="14" borderId="3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wrapText="1"/>
    </xf>
    <xf numFmtId="0" fontId="5" fillId="13" borderId="2" xfId="0" applyFont="1" applyFill="1" applyBorder="1"/>
    <xf numFmtId="0" fontId="4" fillId="13" borderId="2" xfId="0" applyFont="1" applyFill="1" applyBorder="1"/>
    <xf numFmtId="0" fontId="4" fillId="0" borderId="17" xfId="0" applyFont="1" applyFill="1" applyBorder="1" applyAlignment="1">
      <alignment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7" fillId="13" borderId="5" xfId="0" applyFont="1" applyFill="1" applyBorder="1" applyAlignment="1">
      <alignment wrapText="1"/>
    </xf>
    <xf numFmtId="0" fontId="4" fillId="0" borderId="5" xfId="0" applyFont="1" applyBorder="1"/>
    <xf numFmtId="43" fontId="5" fillId="0" borderId="6" xfId="1" applyFont="1" applyBorder="1" applyAlignment="1"/>
    <xf numFmtId="0" fontId="4" fillId="13" borderId="5" xfId="0" applyFont="1" applyFill="1" applyBorder="1"/>
    <xf numFmtId="43" fontId="4" fillId="13" borderId="6" xfId="1" applyFont="1" applyFill="1" applyBorder="1" applyAlignment="1"/>
    <xf numFmtId="0" fontId="4" fillId="0" borderId="7" xfId="0" applyFont="1" applyBorder="1"/>
    <xf numFmtId="0" fontId="4" fillId="0" borderId="8" xfId="0" applyFont="1" applyBorder="1"/>
    <xf numFmtId="0" fontId="4" fillId="0" borderId="31" xfId="0" applyFont="1" applyBorder="1"/>
    <xf numFmtId="0" fontId="4" fillId="0" borderId="3" xfId="0" applyFont="1" applyBorder="1"/>
    <xf numFmtId="43" fontId="4" fillId="0" borderId="32" xfId="1" applyFont="1" applyBorder="1" applyAlignment="1"/>
    <xf numFmtId="43" fontId="4" fillId="0" borderId="18" xfId="1" applyFont="1" applyBorder="1" applyAlignment="1"/>
    <xf numFmtId="0" fontId="4" fillId="4" borderId="16" xfId="0" applyFont="1" applyFill="1" applyBorder="1"/>
    <xf numFmtId="0" fontId="4" fillId="0" borderId="6" xfId="0" applyFont="1" applyBorder="1" applyAlignment="1">
      <alignment horizontal="right"/>
    </xf>
    <xf numFmtId="43" fontId="4" fillId="0" borderId="33" xfId="1" applyFont="1" applyBorder="1" applyAlignment="1"/>
    <xf numFmtId="43" fontId="4" fillId="0" borderId="3" xfId="1" applyFont="1" applyBorder="1" applyAlignment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43" fontId="4" fillId="0" borderId="2" xfId="1" applyFont="1" applyBorder="1" applyAlignment="1">
      <alignment horizontal="right"/>
    </xf>
    <xf numFmtId="43" fontId="4" fillId="0" borderId="17" xfId="1" applyFont="1" applyBorder="1" applyAlignment="1"/>
    <xf numFmtId="43" fontId="4" fillId="0" borderId="8" xfId="1" applyFont="1" applyBorder="1" applyAlignment="1">
      <alignment horizontal="right"/>
    </xf>
    <xf numFmtId="0" fontId="4" fillId="0" borderId="5" xfId="0" applyFont="1" applyBorder="1" applyAlignment="1">
      <alignment horizontal="left" vertical="center" wrapText="1"/>
    </xf>
    <xf numFmtId="0" fontId="0" fillId="4" borderId="6" xfId="0" applyFill="1" applyBorder="1"/>
    <xf numFmtId="0" fontId="0" fillId="14" borderId="5" xfId="0" applyFill="1" applyBorder="1"/>
    <xf numFmtId="0" fontId="0" fillId="14" borderId="2" xfId="0" applyFill="1" applyBorder="1"/>
    <xf numFmtId="17" fontId="2" fillId="0" borderId="16" xfId="0" applyNumberFormat="1" applyFont="1" applyBorder="1" applyAlignment="1">
      <alignment horizontal="center" vertical="center"/>
    </xf>
    <xf numFmtId="0" fontId="4" fillId="2" borderId="17" xfId="0" applyNumberFormat="1" applyFont="1" applyFill="1" applyBorder="1" applyAlignment="1">
      <alignment horizontal="center" vertical="center" wrapText="1"/>
    </xf>
    <xf numFmtId="2" fontId="0" fillId="0" borderId="28" xfId="0" applyNumberFormat="1" applyBorder="1" applyAlignment="1"/>
    <xf numFmtId="2" fontId="0" fillId="0" borderId="2" xfId="0" applyNumberFormat="1" applyBorder="1" applyAlignment="1"/>
    <xf numFmtId="0" fontId="0" fillId="4" borderId="17" xfId="0" applyFill="1" applyBorder="1" applyAlignment="1">
      <alignment horizontal="center" vertical="center" wrapText="1"/>
    </xf>
    <xf numFmtId="0" fontId="0" fillId="0" borderId="4" xfId="0" applyBorder="1" applyAlignment="1"/>
    <xf numFmtId="165" fontId="4" fillId="0" borderId="2" xfId="0" applyNumberFormat="1" applyFont="1" applyBorder="1"/>
    <xf numFmtId="0" fontId="4" fillId="0" borderId="26" xfId="0" applyFont="1" applyBorder="1"/>
    <xf numFmtId="0" fontId="0" fillId="0" borderId="26" xfId="0" applyBorder="1"/>
    <xf numFmtId="43" fontId="4" fillId="0" borderId="35" xfId="1" applyFont="1" applyBorder="1" applyAlignment="1"/>
    <xf numFmtId="43" fontId="4" fillId="0" borderId="36" xfId="1" applyFont="1" applyBorder="1" applyAlignment="1"/>
    <xf numFmtId="43" fontId="4" fillId="0" borderId="26" xfId="1" applyFont="1" applyBorder="1" applyAlignment="1"/>
    <xf numFmtId="43" fontId="4" fillId="0" borderId="37" xfId="1" applyFont="1" applyBorder="1" applyAlignment="1"/>
    <xf numFmtId="43" fontId="1" fillId="0" borderId="35" xfId="1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0" fillId="15" borderId="27" xfId="0" applyFill="1" applyBorder="1"/>
    <xf numFmtId="0" fontId="0" fillId="15" borderId="2" xfId="0" applyFill="1" applyBorder="1"/>
    <xf numFmtId="166" fontId="4" fillId="0" borderId="4" xfId="0" applyNumberFormat="1" applyFont="1" applyFill="1" applyBorder="1" applyAlignment="1">
      <alignment vertical="center" wrapText="1"/>
    </xf>
    <xf numFmtId="0" fontId="5" fillId="13" borderId="1" xfId="0" applyFont="1" applyFill="1" applyBorder="1" applyAlignment="1"/>
    <xf numFmtId="0" fontId="0" fillId="16" borderId="25" xfId="0" applyFill="1" applyBorder="1" applyAlignment="1">
      <alignment horizontal="center" vertical="center"/>
    </xf>
    <xf numFmtId="0" fontId="0" fillId="16" borderId="11" xfId="0" applyFill="1" applyBorder="1" applyAlignment="1">
      <alignment vertical="center"/>
    </xf>
    <xf numFmtId="0" fontId="0" fillId="5" borderId="25" xfId="0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0" fillId="17" borderId="2" xfId="0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0" borderId="17" xfId="0" applyFill="1" applyBorder="1"/>
    <xf numFmtId="0" fontId="0" fillId="2" borderId="27" xfId="0" applyFill="1" applyBorder="1"/>
    <xf numFmtId="0" fontId="2" fillId="16" borderId="34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0" fillId="0" borderId="28" xfId="0" applyBorder="1"/>
    <xf numFmtId="0" fontId="0" fillId="0" borderId="38" xfId="0" applyBorder="1"/>
    <xf numFmtId="0" fontId="8" fillId="0" borderId="5" xfId="0" applyFont="1" applyBorder="1"/>
    <xf numFmtId="0" fontId="2" fillId="16" borderId="2" xfId="0" applyFont="1" applyFill="1" applyBorder="1" applyAlignment="1">
      <alignment horizontal="center"/>
    </xf>
    <xf numFmtId="0" fontId="0" fillId="2" borderId="25" xfId="0" applyFill="1" applyBorder="1"/>
    <xf numFmtId="0" fontId="0" fillId="6" borderId="10" xfId="0" applyFill="1" applyBorder="1"/>
    <xf numFmtId="0" fontId="0" fillId="6" borderId="39" xfId="0" applyFill="1" applyBorder="1"/>
    <xf numFmtId="0" fontId="0" fillId="11" borderId="16" xfId="0" applyFill="1" applyBorder="1"/>
    <xf numFmtId="0" fontId="0" fillId="0" borderId="18" xfId="0" applyBorder="1" applyAlignment="1">
      <alignment wrapText="1"/>
    </xf>
    <xf numFmtId="0" fontId="0" fillId="11" borderId="5" xfId="0" applyFill="1" applyBorder="1"/>
    <xf numFmtId="0" fontId="0" fillId="0" borderId="6" xfId="0" applyBorder="1" applyAlignment="1">
      <alignment wrapText="1"/>
    </xf>
    <xf numFmtId="49" fontId="9" fillId="0" borderId="27" xfId="0" applyNumberFormat="1" applyFont="1" applyFill="1" applyBorder="1"/>
    <xf numFmtId="49" fontId="9" fillId="0" borderId="2" xfId="0" applyNumberFormat="1" applyFont="1" applyFill="1" applyBorder="1"/>
    <xf numFmtId="49" fontId="10" fillId="0" borderId="2" xfId="0" applyNumberFormat="1" applyFont="1" applyFill="1" applyBorder="1"/>
    <xf numFmtId="49" fontId="10" fillId="0" borderId="40" xfId="0" applyNumberFormat="1" applyFont="1" applyFill="1" applyBorder="1"/>
    <xf numFmtId="0" fontId="12" fillId="19" borderId="41" xfId="0" applyFont="1" applyFill="1" applyBorder="1" applyAlignment="1">
      <alignment horizontal="left" vertical="center"/>
    </xf>
    <xf numFmtId="0" fontId="12" fillId="20" borderId="41" xfId="0" applyFont="1" applyFill="1" applyBorder="1" applyAlignment="1">
      <alignment horizontal="left" vertical="center"/>
    </xf>
    <xf numFmtId="0" fontId="11" fillId="20" borderId="41" xfId="0" applyFont="1" applyFill="1" applyBorder="1" applyAlignment="1">
      <alignment horizontal="left" vertical="center"/>
    </xf>
    <xf numFmtId="0" fontId="12" fillId="21" borderId="41" xfId="0" applyFont="1" applyFill="1" applyBorder="1" applyAlignment="1">
      <alignment horizontal="left" vertical="center"/>
    </xf>
    <xf numFmtId="0" fontId="12" fillId="22" borderId="41" xfId="0" applyFont="1" applyFill="1" applyBorder="1" applyAlignment="1">
      <alignment horizontal="left" vertical="center"/>
    </xf>
    <xf numFmtId="0" fontId="12" fillId="24" borderId="41" xfId="0" applyFont="1" applyFill="1" applyBorder="1" applyAlignment="1">
      <alignment horizontal="left" vertical="center"/>
    </xf>
    <xf numFmtId="0" fontId="11" fillId="24" borderId="41" xfId="0" applyFont="1" applyFill="1" applyBorder="1" applyAlignment="1">
      <alignment horizontal="left" vertical="center"/>
    </xf>
    <xf numFmtId="0" fontId="12" fillId="25" borderId="41" xfId="0" applyFont="1" applyFill="1" applyBorder="1" applyAlignment="1">
      <alignment horizontal="left" vertical="center"/>
    </xf>
    <xf numFmtId="0" fontId="12" fillId="23" borderId="41" xfId="0" applyFont="1" applyFill="1" applyBorder="1" applyAlignment="1">
      <alignment horizontal="left" vertical="center"/>
    </xf>
    <xf numFmtId="0" fontId="12" fillId="26" borderId="41" xfId="0" applyFont="1" applyFill="1" applyBorder="1" applyAlignment="1">
      <alignment horizontal="left" vertical="center"/>
    </xf>
    <xf numFmtId="0" fontId="12" fillId="22" borderId="41" xfId="0" applyFont="1" applyFill="1" applyBorder="1" applyAlignment="1">
      <alignment horizontal="left" vertical="center" wrapText="1"/>
    </xf>
    <xf numFmtId="0" fontId="11" fillId="26" borderId="41" xfId="0" applyFont="1" applyFill="1" applyBorder="1" applyAlignment="1">
      <alignment horizontal="left" vertical="center"/>
    </xf>
    <xf numFmtId="0" fontId="11" fillId="27" borderId="41" xfId="0" applyFont="1" applyFill="1" applyBorder="1" applyAlignment="1">
      <alignment horizontal="left" vertical="center"/>
    </xf>
    <xf numFmtId="0" fontId="13" fillId="24" borderId="41" xfId="0" applyFont="1" applyFill="1" applyBorder="1" applyAlignment="1">
      <alignment horizontal="left" vertical="center"/>
    </xf>
    <xf numFmtId="0" fontId="14" fillId="22" borderId="41" xfId="0" applyFont="1" applyFill="1" applyBorder="1" applyAlignment="1">
      <alignment horizontal="left" vertical="center"/>
    </xf>
    <xf numFmtId="0" fontId="14" fillId="24" borderId="41" xfId="0" applyFont="1" applyFill="1" applyBorder="1" applyAlignment="1">
      <alignment horizontal="left" vertical="center"/>
    </xf>
    <xf numFmtId="0" fontId="13" fillId="22" borderId="41" xfId="0" applyFont="1" applyFill="1" applyBorder="1" applyAlignment="1">
      <alignment horizontal="left" vertical="center"/>
    </xf>
    <xf numFmtId="0" fontId="13" fillId="20" borderId="41" xfId="0" applyFont="1" applyFill="1" applyBorder="1" applyAlignment="1">
      <alignment horizontal="left" vertical="center"/>
    </xf>
    <xf numFmtId="0" fontId="15" fillId="27" borderId="41" xfId="0" applyFont="1" applyFill="1" applyBorder="1" applyAlignment="1">
      <alignment horizontal="left" vertical="center"/>
    </xf>
    <xf numFmtId="0" fontId="14" fillId="19" borderId="41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11" fillId="0" borderId="41" xfId="0" applyFont="1" applyFill="1" applyBorder="1" applyAlignment="1">
      <alignment horizontal="left" vertical="center"/>
    </xf>
    <xf numFmtId="0" fontId="12" fillId="0" borderId="4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20" borderId="42" xfId="0" applyFont="1" applyFill="1" applyBorder="1" applyAlignment="1">
      <alignment horizontal="left" vertical="center"/>
    </xf>
    <xf numFmtId="0" fontId="12" fillId="20" borderId="43" xfId="0" applyFont="1" applyFill="1" applyBorder="1" applyAlignment="1">
      <alignment horizontal="left" vertical="center"/>
    </xf>
    <xf numFmtId="0" fontId="13" fillId="20" borderId="2" xfId="0" applyFont="1" applyFill="1" applyBorder="1" applyAlignment="1">
      <alignment horizontal="left" vertical="center"/>
    </xf>
    <xf numFmtId="0" fontId="13" fillId="0" borderId="41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3" fillId="22" borderId="41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3" fillId="28" borderId="41" xfId="0" applyFont="1" applyFill="1" applyBorder="1" applyAlignment="1">
      <alignment horizontal="left" vertical="center"/>
    </xf>
    <xf numFmtId="0" fontId="16" fillId="0" borderId="0" xfId="0" applyFont="1"/>
    <xf numFmtId="0" fontId="12" fillId="0" borderId="0" xfId="0" applyFont="1" applyBorder="1" applyAlignment="1">
      <alignment horizontal="left" vertical="center"/>
    </xf>
    <xf numFmtId="0" fontId="12" fillId="0" borderId="44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2" fillId="0" borderId="38" xfId="0" applyFont="1" applyBorder="1"/>
    <xf numFmtId="0" fontId="17" fillId="0" borderId="38" xfId="0" applyFont="1" applyBorder="1"/>
    <xf numFmtId="0" fontId="2" fillId="0" borderId="34" xfId="0" applyFont="1" applyBorder="1"/>
    <xf numFmtId="0" fontId="0" fillId="0" borderId="6" xfId="0" applyFill="1" applyBorder="1"/>
    <xf numFmtId="0" fontId="0" fillId="0" borderId="45" xfId="0" applyBorder="1"/>
    <xf numFmtId="0" fontId="0" fillId="6" borderId="20" xfId="0" applyFill="1" applyBorder="1"/>
    <xf numFmtId="0" fontId="0" fillId="0" borderId="46" xfId="0" applyBorder="1"/>
    <xf numFmtId="0" fontId="0" fillId="3" borderId="8" xfId="0" applyFill="1" applyBorder="1"/>
    <xf numFmtId="0" fontId="0" fillId="0" borderId="24" xfId="0" applyBorder="1"/>
    <xf numFmtId="0" fontId="0" fillId="3" borderId="7" xfId="0" applyFill="1" applyBorder="1"/>
    <xf numFmtId="0" fontId="0" fillId="0" borderId="9" xfId="0" applyBorder="1" applyAlignment="1">
      <alignment wrapText="1"/>
    </xf>
    <xf numFmtId="12" fontId="18" fillId="30" borderId="2" xfId="0" applyNumberFormat="1" applyFont="1" applyFill="1" applyBorder="1" applyAlignment="1">
      <alignment wrapText="1"/>
    </xf>
    <xf numFmtId="0" fontId="0" fillId="2" borderId="30" xfId="0" applyFill="1" applyBorder="1"/>
    <xf numFmtId="0" fontId="0" fillId="29" borderId="8" xfId="0" applyFill="1" applyBorder="1"/>
    <xf numFmtId="49" fontId="9" fillId="31" borderId="5" xfId="0" applyNumberFormat="1" applyFont="1" applyFill="1" applyBorder="1" applyAlignment="1">
      <alignment wrapText="1"/>
    </xf>
    <xf numFmtId="49" fontId="10" fillId="31" borderId="2" xfId="0" applyNumberFormat="1" applyFont="1" applyFill="1" applyBorder="1"/>
    <xf numFmtId="0" fontId="0" fillId="31" borderId="27" xfId="0" applyFill="1" applyBorder="1"/>
    <xf numFmtId="0" fontId="0" fillId="31" borderId="2" xfId="0" applyFill="1" applyBorder="1"/>
    <xf numFmtId="0" fontId="0" fillId="31" borderId="1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2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12" borderId="19" xfId="0" applyFill="1" applyBorder="1"/>
    <xf numFmtId="0" fontId="0" fillId="0" borderId="11" xfId="0" applyBorder="1" applyAlignment="1">
      <alignment horizontal="left" wrapText="1"/>
    </xf>
    <xf numFmtId="0" fontId="0" fillId="2" borderId="4" xfId="0" applyFill="1" applyBorder="1"/>
    <xf numFmtId="0" fontId="0" fillId="0" borderId="4" xfId="0" applyFill="1" applyBorder="1"/>
    <xf numFmtId="0" fontId="0" fillId="10" borderId="19" xfId="0" applyFill="1" applyBorder="1"/>
    <xf numFmtId="0" fontId="0" fillId="10" borderId="4" xfId="0" applyFill="1" applyBorder="1"/>
    <xf numFmtId="0" fontId="0" fillId="10" borderId="20" xfId="0" applyFill="1" applyBorder="1"/>
    <xf numFmtId="0" fontId="0" fillId="10" borderId="29" xfId="0" applyFill="1" applyBorder="1"/>
    <xf numFmtId="0" fontId="0" fillId="10" borderId="11" xfId="0" applyFill="1" applyBorder="1"/>
    <xf numFmtId="0" fontId="0" fillId="11" borderId="19" xfId="0" applyFill="1" applyBorder="1"/>
    <xf numFmtId="0" fontId="0" fillId="0" borderId="20" xfId="0" applyBorder="1" applyAlignment="1">
      <alignment wrapText="1"/>
    </xf>
    <xf numFmtId="0" fontId="0" fillId="10" borderId="2" xfId="0" applyFill="1" applyBorder="1"/>
    <xf numFmtId="0" fontId="0" fillId="10" borderId="5" xfId="0" applyFill="1" applyBorder="1"/>
    <xf numFmtId="0" fontId="0" fillId="10" borderId="6" xfId="0" applyFill="1" applyBorder="1"/>
    <xf numFmtId="0" fontId="0" fillId="0" borderId="30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20" fillId="0" borderId="28" xfId="0" applyFont="1" applyBorder="1" applyAlignment="1"/>
    <xf numFmtId="0" fontId="20" fillId="0" borderId="2" xfId="0" applyFont="1" applyBorder="1" applyAlignment="1"/>
    <xf numFmtId="0" fontId="20" fillId="0" borderId="1" xfId="0" applyFont="1" applyBorder="1" applyAlignment="1"/>
    <xf numFmtId="0" fontId="20" fillId="0" borderId="0" xfId="0" applyFont="1"/>
    <xf numFmtId="0" fontId="19" fillId="0" borderId="0" xfId="0" applyFont="1" applyFill="1" applyBorder="1"/>
    <xf numFmtId="0" fontId="6" fillId="0" borderId="28" xfId="0" applyFont="1" applyBorder="1" applyAlignment="1"/>
    <xf numFmtId="2" fontId="6" fillId="0" borderId="2" xfId="0" applyNumberFormat="1" applyFont="1" applyBorder="1" applyAlignment="1"/>
    <xf numFmtId="0" fontId="0" fillId="0" borderId="27" xfId="0" applyFill="1" applyBorder="1"/>
    <xf numFmtId="12" fontId="21" fillId="30" borderId="2" xfId="0" applyNumberFormat="1" applyFont="1" applyFill="1" applyBorder="1" applyAlignment="1">
      <alignment wrapText="1"/>
    </xf>
    <xf numFmtId="0" fontId="22" fillId="0" borderId="28" xfId="0" applyFont="1" applyBorder="1" applyAlignment="1"/>
    <xf numFmtId="0" fontId="7" fillId="0" borderId="2" xfId="0" applyFont="1" applyBorder="1" applyAlignment="1"/>
    <xf numFmtId="0" fontId="22" fillId="0" borderId="2" xfId="0" applyFont="1" applyBorder="1" applyAlignment="1"/>
    <xf numFmtId="43" fontId="7" fillId="0" borderId="28" xfId="1" applyFont="1" applyBorder="1" applyAlignment="1"/>
    <xf numFmtId="43" fontId="7" fillId="0" borderId="2" xfId="1" applyFont="1" applyBorder="1" applyAlignment="1"/>
    <xf numFmtId="43" fontId="7" fillId="0" borderId="1" xfId="1" applyFont="1" applyBorder="1" applyAlignment="1"/>
    <xf numFmtId="0" fontId="7" fillId="0" borderId="28" xfId="0" applyFont="1" applyBorder="1" applyAlignment="1"/>
    <xf numFmtId="2" fontId="7" fillId="0" borderId="2" xfId="1" applyNumberFormat="1" applyFont="1" applyBorder="1" applyAlignment="1"/>
    <xf numFmtId="2" fontId="4" fillId="0" borderId="2" xfId="0" applyNumberFormat="1" applyFont="1" applyBorder="1" applyAlignment="1"/>
    <xf numFmtId="43" fontId="23" fillId="0" borderId="3" xfId="1" applyFont="1" applyBorder="1" applyAlignment="1"/>
    <xf numFmtId="17" fontId="2" fillId="0" borderId="13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wrapText="1"/>
    </xf>
    <xf numFmtId="0" fontId="7" fillId="13" borderId="27" xfId="0" applyFont="1" applyFill="1" applyBorder="1" applyAlignment="1">
      <alignment wrapText="1"/>
    </xf>
    <xf numFmtId="0" fontId="6" fillId="0" borderId="27" xfId="0" applyFont="1" applyBorder="1" applyAlignment="1">
      <alignment wrapText="1"/>
    </xf>
    <xf numFmtId="0" fontId="7" fillId="0" borderId="48" xfId="0" applyFont="1" applyBorder="1"/>
    <xf numFmtId="0" fontId="7" fillId="0" borderId="27" xfId="0" applyFont="1" applyBorder="1"/>
    <xf numFmtId="2" fontId="4" fillId="0" borderId="28" xfId="0" applyNumberFormat="1" applyFont="1" applyBorder="1" applyAlignment="1"/>
    <xf numFmtId="2" fontId="6" fillId="0" borderId="28" xfId="0" applyNumberFormat="1" applyFont="1" applyBorder="1" applyAlignment="1"/>
    <xf numFmtId="43" fontId="23" fillId="0" borderId="33" xfId="1" applyFont="1" applyBorder="1" applyAlignment="1"/>
    <xf numFmtId="2" fontId="7" fillId="0" borderId="28" xfId="1" applyNumberFormat="1" applyFont="1" applyBorder="1" applyAlignment="1"/>
    <xf numFmtId="0" fontId="6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vertical="center" wrapText="1"/>
    </xf>
    <xf numFmtId="0" fontId="7" fillId="0" borderId="50" xfId="0" applyFont="1" applyBorder="1" applyAlignment="1"/>
    <xf numFmtId="0" fontId="5" fillId="13" borderId="50" xfId="0" applyFont="1" applyFill="1" applyBorder="1" applyAlignment="1"/>
    <xf numFmtId="0" fontId="6" fillId="0" borderId="50" xfId="0" applyFont="1" applyBorder="1" applyAlignment="1"/>
    <xf numFmtId="2" fontId="6" fillId="0" borderId="50" xfId="0" applyNumberFormat="1" applyFont="1" applyBorder="1" applyAlignment="1"/>
    <xf numFmtId="43" fontId="23" fillId="0" borderId="51" xfId="1" applyFont="1" applyBorder="1" applyAlignment="1"/>
    <xf numFmtId="2" fontId="7" fillId="0" borderId="50" xfId="1" applyNumberFormat="1" applyFont="1" applyBorder="1" applyAlignment="1"/>
    <xf numFmtId="43" fontId="7" fillId="0" borderId="52" xfId="1" applyFont="1" applyBorder="1" applyAlignment="1"/>
    <xf numFmtId="43" fontId="23" fillId="0" borderId="50" xfId="1" applyFont="1" applyBorder="1" applyAlignment="1"/>
    <xf numFmtId="43" fontId="23" fillId="0" borderId="2" xfId="1" applyFont="1" applyBorder="1" applyAlignment="1"/>
    <xf numFmtId="0" fontId="23" fillId="0" borderId="47" xfId="0" applyFont="1" applyFill="1" applyBorder="1"/>
    <xf numFmtId="0" fontId="6" fillId="0" borderId="47" xfId="0" applyFont="1" applyBorder="1"/>
    <xf numFmtId="0" fontId="0" fillId="10" borderId="45" xfId="0" applyFill="1" applyBorder="1"/>
    <xf numFmtId="0" fontId="0" fillId="0" borderId="6" xfId="0" applyBorder="1" applyAlignment="1">
      <alignment horizontal="left" vertical="top" wrapText="1"/>
    </xf>
    <xf numFmtId="0" fontId="16" fillId="6" borderId="2" xfId="0" applyFont="1" applyFill="1" applyBorder="1"/>
    <xf numFmtId="0" fontId="0" fillId="16" borderId="2" xfId="0" applyFont="1" applyFill="1" applyBorder="1" applyAlignment="1">
      <alignment horizontal="center"/>
    </xf>
    <xf numFmtId="0" fontId="0" fillId="16" borderId="34" xfId="0" applyFont="1" applyFill="1" applyBorder="1" applyAlignment="1">
      <alignment horizontal="center"/>
    </xf>
    <xf numFmtId="0" fontId="0" fillId="18" borderId="2" xfId="0" applyFont="1" applyFill="1" applyBorder="1" applyAlignment="1">
      <alignment horizontal="center"/>
    </xf>
    <xf numFmtId="0" fontId="0" fillId="5" borderId="2" xfId="0" applyFont="1" applyFill="1" applyBorder="1"/>
    <xf numFmtId="0" fontId="0" fillId="2" borderId="6" xfId="0" applyFont="1" applyFill="1" applyBorder="1"/>
    <xf numFmtId="0" fontId="0" fillId="0" borderId="2" xfId="0" applyFont="1" applyBorder="1"/>
    <xf numFmtId="0" fontId="0" fillId="0" borderId="6" xfId="0" applyFont="1" applyBorder="1"/>
    <xf numFmtId="0" fontId="0" fillId="0" borderId="5" xfId="0" applyFont="1" applyBorder="1"/>
    <xf numFmtId="0" fontId="0" fillId="0" borderId="4" xfId="0" applyFont="1" applyBorder="1"/>
    <xf numFmtId="0" fontId="0" fillId="2" borderId="40" xfId="0" applyFill="1" applyBorder="1"/>
    <xf numFmtId="0" fontId="0" fillId="32" borderId="2" xfId="0" applyFill="1" applyBorder="1"/>
    <xf numFmtId="0" fontId="0" fillId="32" borderId="0" xfId="0" applyFill="1"/>
    <xf numFmtId="0" fontId="0" fillId="10" borderId="17" xfId="0" applyFill="1" applyBorder="1"/>
    <xf numFmtId="0" fontId="0" fillId="0" borderId="39" xfId="0" applyBorder="1"/>
    <xf numFmtId="0" fontId="0" fillId="31" borderId="6" xfId="0" applyFill="1" applyBorder="1"/>
    <xf numFmtId="0" fontId="0" fillId="31" borderId="2" xfId="0" applyFill="1" applyBorder="1" applyAlignment="1"/>
    <xf numFmtId="0" fontId="22" fillId="6" borderId="6" xfId="0" applyFont="1" applyFill="1" applyBorder="1"/>
    <xf numFmtId="0" fontId="0" fillId="31" borderId="5" xfId="0" applyFill="1" applyBorder="1"/>
    <xf numFmtId="0" fontId="0" fillId="31" borderId="17" xfId="0" applyFill="1" applyBorder="1" applyAlignment="1">
      <alignment horizontal="center" vertical="center"/>
    </xf>
    <xf numFmtId="0" fontId="0" fillId="31" borderId="4" xfId="0" applyFill="1" applyBorder="1" applyAlignment="1">
      <alignment vertical="center"/>
    </xf>
    <xf numFmtId="0" fontId="0" fillId="33" borderId="25" xfId="0" applyFill="1" applyBorder="1" applyAlignment="1">
      <alignment horizontal="left" wrapText="1"/>
    </xf>
    <xf numFmtId="0" fontId="0" fillId="33" borderId="11" xfId="0" applyFill="1" applyBorder="1" applyAlignment="1">
      <alignment horizontal="left" wrapText="1"/>
    </xf>
    <xf numFmtId="0" fontId="0" fillId="34" borderId="1" xfId="0" applyFill="1" applyBorder="1" applyAlignment="1">
      <alignment wrapText="1"/>
    </xf>
    <xf numFmtId="0" fontId="0" fillId="33" borderId="1" xfId="0" applyFill="1" applyBorder="1" applyAlignment="1">
      <alignment wrapText="1"/>
    </xf>
    <xf numFmtId="0" fontId="0" fillId="35" borderId="1" xfId="0" applyFill="1" applyBorder="1" applyAlignment="1">
      <alignment wrapText="1"/>
    </xf>
    <xf numFmtId="0" fontId="0" fillId="36" borderId="1" xfId="0" applyFill="1" applyBorder="1" applyAlignment="1">
      <alignment wrapText="1"/>
    </xf>
    <xf numFmtId="49" fontId="9" fillId="36" borderId="27" xfId="0" applyNumberFormat="1" applyFont="1" applyFill="1" applyBorder="1"/>
    <xf numFmtId="49" fontId="9" fillId="36" borderId="2" xfId="0" applyNumberFormat="1" applyFont="1" applyFill="1" applyBorder="1"/>
    <xf numFmtId="0" fontId="0" fillId="36" borderId="2" xfId="0" applyFill="1" applyBorder="1"/>
    <xf numFmtId="0" fontId="0" fillId="36" borderId="6" xfId="0" applyFill="1" applyBorder="1"/>
    <xf numFmtId="0" fontId="0" fillId="36" borderId="28" xfId="0" applyFill="1" applyBorder="1"/>
    <xf numFmtId="0" fontId="0" fillId="36" borderId="1" xfId="0" applyFill="1" applyBorder="1"/>
    <xf numFmtId="0" fontId="0" fillId="36" borderId="5" xfId="0" applyFill="1" applyBorder="1"/>
    <xf numFmtId="0" fontId="0" fillId="36" borderId="6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5" borderId="6" xfId="0" applyFill="1" applyBorder="1" applyAlignment="1">
      <alignment wrapText="1"/>
    </xf>
    <xf numFmtId="0" fontId="0" fillId="33" borderId="6" xfId="0" applyFill="1" applyBorder="1" applyAlignment="1">
      <alignment wrapText="1"/>
    </xf>
    <xf numFmtId="0" fontId="0" fillId="34" borderId="6" xfId="0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0" fillId="37" borderId="20" xfId="0" applyFill="1" applyBorder="1" applyAlignment="1">
      <alignment wrapText="1"/>
    </xf>
    <xf numFmtId="0" fontId="0" fillId="37" borderId="6" xfId="0" applyFill="1" applyBorder="1" applyAlignment="1">
      <alignment wrapText="1"/>
    </xf>
    <xf numFmtId="0" fontId="0" fillId="38" borderId="6" xfId="0" applyFill="1" applyBorder="1" applyAlignment="1">
      <alignment wrapText="1"/>
    </xf>
    <xf numFmtId="0" fontId="0" fillId="39" borderId="6" xfId="0" applyFill="1" applyBorder="1" applyAlignment="1">
      <alignment wrapText="1"/>
    </xf>
    <xf numFmtId="0" fontId="0" fillId="37" borderId="9" xfId="0" applyFill="1" applyBorder="1" applyAlignment="1">
      <alignment wrapText="1"/>
    </xf>
    <xf numFmtId="0" fontId="24" fillId="6" borderId="5" xfId="0" applyFont="1" applyFill="1" applyBorder="1"/>
    <xf numFmtId="0" fontId="24" fillId="6" borderId="2" xfId="0" applyFont="1" applyFill="1" applyBorder="1"/>
    <xf numFmtId="0" fontId="24" fillId="6" borderId="6" xfId="0" applyFont="1" applyFill="1" applyBorder="1"/>
    <xf numFmtId="0" fontId="24" fillId="2" borderId="2" xfId="0" applyFont="1" applyFill="1" applyBorder="1"/>
    <xf numFmtId="0" fontId="0" fillId="0" borderId="0" xfId="0" applyAlignment="1">
      <alignment vertical="center"/>
    </xf>
    <xf numFmtId="0" fontId="0" fillId="5" borderId="0" xfId="0" applyFill="1"/>
    <xf numFmtId="0" fontId="0" fillId="40" borderId="0" xfId="0" applyFill="1"/>
    <xf numFmtId="0" fontId="16" fillId="2" borderId="5" xfId="0" applyFont="1" applyFill="1" applyBorder="1"/>
    <xf numFmtId="0" fontId="22" fillId="2" borderId="6" xfId="0" applyFont="1" applyFill="1" applyBorder="1"/>
    <xf numFmtId="0" fontId="26" fillId="0" borderId="0" xfId="0" applyFont="1" applyAlignment="1">
      <alignment horizontal="left" vertical="center" indent="1"/>
    </xf>
    <xf numFmtId="0" fontId="0" fillId="4" borderId="0" xfId="0" applyFill="1"/>
    <xf numFmtId="0" fontId="27" fillId="2" borderId="5" xfId="0" applyFont="1" applyFill="1" applyBorder="1"/>
    <xf numFmtId="0" fontId="27" fillId="2" borderId="2" xfId="0" applyFont="1" applyFill="1" applyBorder="1"/>
    <xf numFmtId="0" fontId="16" fillId="0" borderId="2" xfId="0" applyFont="1" applyBorder="1"/>
    <xf numFmtId="0" fontId="16" fillId="4" borderId="2" xfId="0" applyFont="1" applyFill="1" applyBorder="1"/>
    <xf numFmtId="0" fontId="16" fillId="4" borderId="6" xfId="0" applyFont="1" applyFill="1" applyBorder="1"/>
    <xf numFmtId="0" fontId="0" fillId="6" borderId="0" xfId="0" applyFill="1"/>
    <xf numFmtId="0" fontId="0" fillId="41" borderId="0" xfId="0" applyFill="1"/>
    <xf numFmtId="0" fontId="28" fillId="4" borderId="5" xfId="0" applyFont="1" applyFill="1" applyBorder="1"/>
    <xf numFmtId="0" fontId="22" fillId="5" borderId="2" xfId="0" applyFont="1" applyFill="1" applyBorder="1"/>
    <xf numFmtId="0" fontId="22" fillId="41" borderId="5" xfId="0" applyFont="1" applyFill="1" applyBorder="1"/>
    <xf numFmtId="0" fontId="22" fillId="4" borderId="2" xfId="0" applyFont="1" applyFill="1" applyBorder="1"/>
    <xf numFmtId="0" fontId="29" fillId="6" borderId="5" xfId="0" applyFont="1" applyFill="1" applyBorder="1"/>
    <xf numFmtId="0" fontId="28" fillId="0" borderId="4" xfId="0" applyFont="1" applyBorder="1"/>
    <xf numFmtId="0" fontId="22" fillId="41" borderId="2" xfId="0" applyFont="1" applyFill="1" applyBorder="1"/>
    <xf numFmtId="0" fontId="22" fillId="4" borderId="6" xfId="0" applyFont="1" applyFill="1" applyBorder="1"/>
    <xf numFmtId="0" fontId="22" fillId="5" borderId="5" xfId="0" applyFont="1" applyFill="1" applyBorder="1"/>
    <xf numFmtId="0" fontId="22" fillId="5" borderId="6" xfId="0" applyFont="1" applyFill="1" applyBorder="1"/>
    <xf numFmtId="43" fontId="7" fillId="0" borderId="0" xfId="1" applyFont="1" applyBorder="1" applyAlignment="1"/>
    <xf numFmtId="0" fontId="29" fillId="6" borderId="2" xfId="0" applyFont="1" applyFill="1" applyBorder="1"/>
    <xf numFmtId="0" fontId="22" fillId="4" borderId="5" xfId="0" applyFont="1" applyFill="1" applyBorder="1"/>
    <xf numFmtId="0" fontId="0" fillId="36" borderId="3" xfId="0" applyFill="1" applyBorder="1"/>
    <xf numFmtId="0" fontId="0" fillId="0" borderId="0" xfId="0" applyFill="1" applyAlignment="1">
      <alignment vertical="center"/>
    </xf>
    <xf numFmtId="0" fontId="26" fillId="0" borderId="0" xfId="0" applyFont="1" applyFill="1" applyAlignment="1">
      <alignment horizontal="left" vertical="center" indent="1"/>
    </xf>
    <xf numFmtId="12" fontId="21" fillId="0" borderId="0" xfId="0" applyNumberFormat="1" applyFont="1" applyFill="1" applyBorder="1" applyAlignment="1">
      <alignment wrapText="1"/>
    </xf>
    <xf numFmtId="0" fontId="7" fillId="0" borderId="0" xfId="0" applyFont="1" applyBorder="1"/>
    <xf numFmtId="2" fontId="4" fillId="0" borderId="2" xfId="0" applyNumberFormat="1" applyFont="1" applyFill="1" applyBorder="1" applyAlignment="1"/>
    <xf numFmtId="0" fontId="6" fillId="14" borderId="30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2" fillId="16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32" fillId="0" borderId="0" xfId="0" applyFont="1" applyFill="1"/>
    <xf numFmtId="0" fontId="33" fillId="0" borderId="30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16" borderId="11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32" fillId="0" borderId="54" xfId="0" applyFont="1" applyFill="1" applyBorder="1"/>
    <xf numFmtId="17" fontId="31" fillId="0" borderId="53" xfId="0" applyNumberFormat="1" applyFont="1" applyFill="1" applyBorder="1" applyAlignment="1">
      <alignment horizontal="center" vertical="center"/>
    </xf>
    <xf numFmtId="0" fontId="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wrapText="1"/>
    </xf>
    <xf numFmtId="0" fontId="7" fillId="0" borderId="50" xfId="0" applyFont="1" applyBorder="1" applyAlignment="1">
      <alignment wrapText="1"/>
    </xf>
    <xf numFmtId="0" fontId="7" fillId="0" borderId="51" xfId="0" applyFont="1" applyBorder="1"/>
    <xf numFmtId="0" fontId="7" fillId="0" borderId="50" xfId="0" applyFont="1" applyBorder="1"/>
    <xf numFmtId="0" fontId="7" fillId="0" borderId="52" xfId="0" applyFont="1" applyBorder="1"/>
    <xf numFmtId="0" fontId="34" fillId="0" borderId="47" xfId="0" applyFont="1" applyFill="1" applyBorder="1"/>
    <xf numFmtId="0" fontId="2" fillId="31" borderId="4" xfId="0" applyFont="1" applyFill="1" applyBorder="1" applyAlignment="1">
      <alignment vertical="center"/>
    </xf>
    <xf numFmtId="2" fontId="6" fillId="0" borderId="2" xfId="0" applyNumberFormat="1" applyFont="1" applyFill="1" applyBorder="1" applyAlignment="1"/>
    <xf numFmtId="2" fontId="6" fillId="0" borderId="28" xfId="0" applyNumberFormat="1" applyFont="1" applyFill="1" applyBorder="1" applyAlignment="1"/>
    <xf numFmtId="0" fontId="33" fillId="0" borderId="50" xfId="0" applyFont="1" applyBorder="1" applyAlignment="1">
      <alignment wrapText="1"/>
    </xf>
    <xf numFmtId="0" fontId="33" fillId="0" borderId="50" xfId="0" applyFont="1" applyBorder="1" applyAlignment="1"/>
    <xf numFmtId="0" fontId="32" fillId="0" borderId="28" xfId="0" applyFont="1" applyBorder="1" applyAlignment="1"/>
    <xf numFmtId="0" fontId="32" fillId="0" borderId="2" xfId="0" applyFont="1" applyBorder="1" applyAlignment="1"/>
    <xf numFmtId="0" fontId="32" fillId="0" borderId="1" xfId="0" applyFont="1" applyBorder="1" applyAlignment="1"/>
    <xf numFmtId="0" fontId="33" fillId="0" borderId="28" xfId="0" applyFont="1" applyBorder="1" applyAlignment="1"/>
    <xf numFmtId="0" fontId="33" fillId="0" borderId="40" xfId="0" applyFont="1" applyBorder="1" applyAlignment="1"/>
    <xf numFmtId="0" fontId="6" fillId="14" borderId="16" xfId="0" applyFont="1" applyFill="1" applyBorder="1" applyAlignment="1">
      <alignment horizontal="center" vertical="center" wrapText="1"/>
    </xf>
    <xf numFmtId="0" fontId="2" fillId="17" borderId="18" xfId="0" applyFont="1" applyFill="1" applyBorder="1" applyAlignment="1">
      <alignment horizontal="center" vertical="center"/>
    </xf>
    <xf numFmtId="0" fontId="33" fillId="0" borderId="16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vertical="center" wrapText="1"/>
    </xf>
    <xf numFmtId="0" fontId="2" fillId="17" borderId="6" xfId="0" applyFont="1" applyFill="1" applyBorder="1" applyAlignment="1">
      <alignment vertical="center"/>
    </xf>
    <xf numFmtId="2" fontId="4" fillId="0" borderId="5" xfId="0" applyNumberFormat="1" applyFont="1" applyBorder="1" applyAlignment="1"/>
    <xf numFmtId="2" fontId="6" fillId="0" borderId="6" xfId="0" applyNumberFormat="1" applyFont="1" applyFill="1" applyBorder="1" applyAlignment="1"/>
    <xf numFmtId="2" fontId="6" fillId="0" borderId="5" xfId="0" applyNumberFormat="1" applyFont="1" applyBorder="1" applyAlignment="1"/>
    <xf numFmtId="2" fontId="6" fillId="0" borderId="6" xfId="0" applyNumberFormat="1" applyFont="1" applyBorder="1" applyAlignment="1"/>
    <xf numFmtId="0" fontId="6" fillId="0" borderId="5" xfId="0" applyFont="1" applyBorder="1" applyAlignment="1"/>
    <xf numFmtId="2" fontId="4" fillId="0" borderId="6" xfId="0" applyNumberFormat="1" applyFont="1" applyBorder="1" applyAlignment="1"/>
    <xf numFmtId="0" fontId="32" fillId="0" borderId="5" xfId="0" applyFont="1" applyBorder="1" applyAlignment="1"/>
    <xf numFmtId="0" fontId="32" fillId="0" borderId="6" xfId="0" applyFont="1" applyBorder="1" applyAlignment="1"/>
    <xf numFmtId="0" fontId="33" fillId="0" borderId="5" xfId="0" applyFont="1" applyBorder="1" applyAlignment="1"/>
    <xf numFmtId="0" fontId="22" fillId="0" borderId="5" xfId="0" applyFont="1" applyBorder="1" applyAlignment="1"/>
    <xf numFmtId="0" fontId="22" fillId="0" borderId="6" xfId="0" applyFont="1" applyBorder="1" applyAlignment="1"/>
    <xf numFmtId="43" fontId="23" fillId="0" borderId="31" xfId="1" applyFont="1" applyBorder="1" applyAlignment="1"/>
    <xf numFmtId="43" fontId="23" fillId="0" borderId="32" xfId="1" applyFont="1" applyBorder="1" applyAlignment="1"/>
    <xf numFmtId="2" fontId="7" fillId="0" borderId="5" xfId="1" applyNumberFormat="1" applyFont="1" applyBorder="1" applyAlignment="1"/>
    <xf numFmtId="2" fontId="7" fillId="0" borderId="6" xfId="1" applyNumberFormat="1" applyFont="1" applyBorder="1" applyAlignment="1"/>
    <xf numFmtId="43" fontId="7" fillId="0" borderId="5" xfId="1" applyFont="1" applyBorder="1" applyAlignment="1"/>
    <xf numFmtId="43" fontId="23" fillId="0" borderId="6" xfId="1" applyFont="1" applyBorder="1" applyAlignment="1"/>
    <xf numFmtId="43" fontId="7" fillId="0" borderId="7" xfId="1" applyFont="1" applyBorder="1" applyAlignment="1"/>
    <xf numFmtId="43" fontId="7" fillId="0" borderId="39" xfId="1" applyFont="1" applyBorder="1" applyAlignment="1"/>
    <xf numFmtId="43" fontId="7" fillId="0" borderId="8" xfId="1" applyFont="1" applyBorder="1" applyAlignment="1"/>
    <xf numFmtId="43" fontId="7" fillId="0" borderId="10" xfId="1" applyFont="1" applyBorder="1" applyAlignment="1"/>
    <xf numFmtId="43" fontId="7" fillId="0" borderId="9" xfId="1" applyFont="1" applyBorder="1" applyAlignment="1"/>
    <xf numFmtId="0" fontId="6" fillId="0" borderId="14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vertical="center" wrapText="1"/>
    </xf>
    <xf numFmtId="0" fontId="6" fillId="0" borderId="34" xfId="0" applyFont="1" applyBorder="1" applyAlignment="1"/>
    <xf numFmtId="2" fontId="6" fillId="0" borderId="34" xfId="0" applyNumberFormat="1" applyFont="1" applyBorder="1" applyAlignment="1"/>
    <xf numFmtId="0" fontId="33" fillId="0" borderId="34" xfId="0" applyFont="1" applyBorder="1" applyAlignment="1"/>
    <xf numFmtId="0" fontId="7" fillId="0" borderId="34" xfId="0" applyFont="1" applyBorder="1" applyAlignment="1"/>
    <xf numFmtId="43" fontId="23" fillId="0" borderId="55" xfId="1" applyFont="1" applyBorder="1" applyAlignment="1"/>
    <xf numFmtId="2" fontId="7" fillId="0" borderId="34" xfId="1" applyNumberFormat="1" applyFont="1" applyBorder="1" applyAlignment="1"/>
    <xf numFmtId="43" fontId="23" fillId="0" borderId="34" xfId="1" applyFont="1" applyBorder="1" applyAlignment="1"/>
    <xf numFmtId="43" fontId="7" fillId="0" borderId="56" xfId="1" applyFont="1" applyBorder="1" applyAlignment="1"/>
    <xf numFmtId="0" fontId="2" fillId="31" borderId="17" xfId="0" applyFont="1" applyFill="1" applyBorder="1" applyAlignment="1">
      <alignment horizontal="center" vertical="center"/>
    </xf>
    <xf numFmtId="2" fontId="7" fillId="0" borderId="0" xfId="1" applyNumberFormat="1" applyFont="1" applyBorder="1" applyAlignment="1"/>
    <xf numFmtId="43" fontId="23" fillId="0" borderId="0" xfId="1" applyFont="1" applyBorder="1" applyAlignment="1"/>
    <xf numFmtId="0" fontId="33" fillId="0" borderId="0" xfId="0" applyFont="1" applyFill="1" applyBorder="1" applyAlignment="1">
      <alignment horizontal="center" vertical="center" wrapText="1"/>
    </xf>
    <xf numFmtId="0" fontId="2" fillId="31" borderId="2" xfId="0" applyFont="1" applyFill="1" applyBorder="1" applyAlignment="1">
      <alignment vertical="center"/>
    </xf>
    <xf numFmtId="0" fontId="35" fillId="0" borderId="2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/>
    </xf>
    <xf numFmtId="0" fontId="0" fillId="0" borderId="34" xfId="0" applyBorder="1"/>
    <xf numFmtId="0" fontId="0" fillId="0" borderId="34" xfId="0" applyFill="1" applyBorder="1"/>
    <xf numFmtId="0" fontId="30" fillId="0" borderId="57" xfId="0" applyFont="1" applyBorder="1"/>
    <xf numFmtId="17" fontId="31" fillId="0" borderId="58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33" fillId="0" borderId="27" xfId="0" applyFont="1" applyBorder="1" applyAlignment="1">
      <alignment wrapText="1"/>
    </xf>
    <xf numFmtId="0" fontId="7" fillId="0" borderId="59" xfId="0" applyFont="1" applyBorder="1"/>
    <xf numFmtId="2" fontId="6" fillId="11" borderId="2" xfId="0" applyNumberFormat="1" applyFont="1" applyFill="1" applyBorder="1" applyAlignment="1"/>
    <xf numFmtId="2" fontId="6" fillId="42" borderId="2" xfId="0" applyNumberFormat="1" applyFont="1" applyFill="1" applyBorder="1" applyAlignment="1"/>
    <xf numFmtId="2" fontId="6" fillId="11" borderId="28" xfId="0" applyNumberFormat="1" applyFont="1" applyFill="1" applyBorder="1" applyAlignment="1"/>
    <xf numFmtId="2" fontId="6" fillId="6" borderId="50" xfId="0" applyNumberFormat="1" applyFont="1" applyFill="1" applyBorder="1" applyAlignment="1"/>
    <xf numFmtId="2" fontId="6" fillId="6" borderId="34" xfId="0" applyNumberFormat="1" applyFont="1" applyFill="1" applyBorder="1" applyAlignment="1"/>
    <xf numFmtId="0" fontId="5" fillId="0" borderId="50" xfId="0" applyFont="1" applyBorder="1" applyAlignment="1">
      <alignment wrapText="1"/>
    </xf>
    <xf numFmtId="2" fontId="38" fillId="0" borderId="50" xfId="0" applyNumberFormat="1" applyFont="1" applyBorder="1" applyAlignment="1"/>
    <xf numFmtId="2" fontId="5" fillId="0" borderId="5" xfId="0" applyNumberFormat="1" applyFont="1" applyBorder="1" applyAlignment="1"/>
    <xf numFmtId="2" fontId="5" fillId="0" borderId="2" xfId="0" applyNumberFormat="1" applyFont="1" applyBorder="1" applyAlignment="1"/>
    <xf numFmtId="2" fontId="5" fillId="0" borderId="2" xfId="0" applyNumberFormat="1" applyFont="1" applyFill="1" applyBorder="1" applyAlignment="1"/>
    <xf numFmtId="2" fontId="5" fillId="0" borderId="6" xfId="0" applyNumberFormat="1" applyFont="1" applyFill="1" applyBorder="1" applyAlignment="1"/>
    <xf numFmtId="0" fontId="5" fillId="0" borderId="27" xfId="0" applyFont="1" applyBorder="1" applyAlignment="1">
      <alignment wrapText="1"/>
    </xf>
    <xf numFmtId="2" fontId="38" fillId="0" borderId="28" xfId="0" applyNumberFormat="1" applyFont="1" applyBorder="1" applyAlignment="1"/>
    <xf numFmtId="2" fontId="5" fillId="0" borderId="28" xfId="0" applyNumberFormat="1" applyFont="1" applyBorder="1" applyAlignment="1"/>
    <xf numFmtId="2" fontId="5" fillId="10" borderId="2" xfId="0" applyNumberFormat="1" applyFont="1" applyFill="1" applyBorder="1" applyAlignment="1"/>
    <xf numFmtId="0" fontId="0" fillId="10" borderId="0" xfId="0" applyFill="1" applyBorder="1"/>
    <xf numFmtId="167" fontId="0" fillId="0" borderId="0" xfId="0" applyNumberFormat="1"/>
    <xf numFmtId="167" fontId="21" fillId="0" borderId="0" xfId="0" applyNumberFormat="1" applyFont="1"/>
    <xf numFmtId="0" fontId="0" fillId="10" borderId="0" xfId="0" applyFill="1" applyBorder="1" applyAlignment="1"/>
    <xf numFmtId="0" fontId="0" fillId="0" borderId="0" xfId="0" applyFill="1" applyBorder="1" applyAlignment="1">
      <alignment vertical="center"/>
    </xf>
    <xf numFmtId="0" fontId="36" fillId="0" borderId="2" xfId="0" applyFont="1" applyBorder="1" applyAlignment="1">
      <alignment horizontal="left"/>
    </xf>
    <xf numFmtId="0" fontId="0" fillId="31" borderId="2" xfId="0" applyFill="1" applyBorder="1" applyAlignment="1">
      <alignment vertical="center"/>
    </xf>
    <xf numFmtId="0" fontId="39" fillId="0" borderId="0" xfId="0" applyFont="1" applyAlignment="1">
      <alignment vertical="center"/>
    </xf>
    <xf numFmtId="0" fontId="0" fillId="38" borderId="2" xfId="0" applyFill="1" applyBorder="1"/>
    <xf numFmtId="0" fontId="0" fillId="38" borderId="6" xfId="0" applyFill="1" applyBorder="1"/>
    <xf numFmtId="0" fontId="29" fillId="6" borderId="27" xfId="0" applyFont="1" applyFill="1" applyBorder="1"/>
    <xf numFmtId="0" fontId="0" fillId="38" borderId="5" xfId="0" applyFill="1" applyBorder="1"/>
    <xf numFmtId="0" fontId="0" fillId="34" borderId="5" xfId="0" applyFill="1" applyBorder="1"/>
    <xf numFmtId="0" fontId="0" fillId="34" borderId="2" xfId="0" applyFill="1" applyBorder="1"/>
    <xf numFmtId="0" fontId="22" fillId="0" borderId="0" xfId="0" applyFont="1"/>
    <xf numFmtId="0" fontId="41" fillId="3" borderId="17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41" fillId="38" borderId="17" xfId="0" applyFont="1" applyFill="1" applyBorder="1" applyAlignment="1">
      <alignment horizontal="center" vertical="center"/>
    </xf>
    <xf numFmtId="0" fontId="41" fillId="31" borderId="17" xfId="0" applyFont="1" applyFill="1" applyBorder="1" applyAlignment="1">
      <alignment horizontal="center" vertical="center"/>
    </xf>
    <xf numFmtId="0" fontId="0" fillId="37" borderId="2" xfId="0" applyFill="1" applyBorder="1"/>
    <xf numFmtId="0" fontId="37" fillId="0" borderId="1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CCFFFF"/>
      <color rgb="FFFFFFCC"/>
      <color rgb="FFFFCCFF"/>
      <color rgb="FFFF9999"/>
      <color rgb="FF009999"/>
      <color rgb="FF00FF00"/>
      <color rgb="FFFF00FF"/>
      <color rgb="FF00FFFF"/>
      <color rgb="FF9900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1EEF-8CC9-4DE1-A85B-2A657F971EB2}">
  <dimension ref="A1:L46"/>
  <sheetViews>
    <sheetView topLeftCell="A22" zoomScale="85" zoomScaleNormal="85" workbookViewId="0">
      <selection activeCell="C41" sqref="C41"/>
    </sheetView>
  </sheetViews>
  <sheetFormatPr baseColWidth="10" defaultRowHeight="14.5" x14ac:dyDescent="0.35"/>
  <cols>
    <col min="1" max="1" width="48.54296875" customWidth="1"/>
    <col min="2" max="2" width="10" customWidth="1"/>
    <col min="3" max="12" width="8" customWidth="1"/>
  </cols>
  <sheetData>
    <row r="1" spans="1:12" ht="16" thickBot="1" x14ac:dyDescent="0.4">
      <c r="A1" s="331" t="s">
        <v>255</v>
      </c>
    </row>
    <row r="2" spans="1:12" ht="15.5" x14ac:dyDescent="0.35">
      <c r="A2" s="308"/>
      <c r="B2" s="319" t="s">
        <v>253</v>
      </c>
      <c r="C2" s="134" t="s">
        <v>251</v>
      </c>
      <c r="D2" s="134" t="s">
        <v>102</v>
      </c>
      <c r="E2" s="106" t="s">
        <v>99</v>
      </c>
      <c r="F2" s="107" t="s">
        <v>45</v>
      </c>
      <c r="G2" s="108" t="s">
        <v>44</v>
      </c>
      <c r="H2" s="170" t="s">
        <v>97</v>
      </c>
      <c r="I2" s="104" t="s">
        <v>46</v>
      </c>
      <c r="J2" s="186" t="s">
        <v>186</v>
      </c>
      <c r="K2" s="188" t="s">
        <v>261</v>
      </c>
      <c r="L2" s="190" t="s">
        <v>31</v>
      </c>
    </row>
    <row r="3" spans="1:12" ht="18" customHeight="1" x14ac:dyDescent="0.35">
      <c r="A3" s="309" t="s">
        <v>100</v>
      </c>
      <c r="B3" s="320">
        <v>39</v>
      </c>
      <c r="C3" s="127">
        <v>1</v>
      </c>
      <c r="D3" s="127">
        <v>5</v>
      </c>
      <c r="E3" s="110">
        <v>8</v>
      </c>
      <c r="F3" s="111">
        <v>6.3</v>
      </c>
      <c r="G3" s="112">
        <v>6</v>
      </c>
      <c r="H3" s="113">
        <v>4</v>
      </c>
      <c r="I3" s="114">
        <v>4</v>
      </c>
      <c r="J3" s="187">
        <v>2</v>
      </c>
      <c r="K3" s="189">
        <v>2</v>
      </c>
      <c r="L3" s="191">
        <v>1</v>
      </c>
    </row>
    <row r="4" spans="1:12" ht="18" customHeight="1" x14ac:dyDescent="0.35">
      <c r="A4" s="310" t="s">
        <v>101</v>
      </c>
      <c r="B4" s="321">
        <v>33</v>
      </c>
      <c r="C4" s="289">
        <v>1</v>
      </c>
      <c r="D4" s="289"/>
      <c r="E4" s="290">
        <v>8</v>
      </c>
      <c r="F4" s="290">
        <v>6</v>
      </c>
      <c r="G4" s="290">
        <v>6</v>
      </c>
      <c r="H4" s="290">
        <v>4</v>
      </c>
      <c r="I4" s="290">
        <v>4</v>
      </c>
      <c r="J4" s="291">
        <v>2</v>
      </c>
      <c r="K4" s="291">
        <v>2</v>
      </c>
      <c r="L4" s="290">
        <v>1</v>
      </c>
    </row>
    <row r="5" spans="1:12" ht="18" customHeight="1" x14ac:dyDescent="0.35">
      <c r="A5" s="310" t="s">
        <v>254</v>
      </c>
      <c r="B5" s="321">
        <f>(B3-7)*25</f>
        <v>800</v>
      </c>
      <c r="C5" s="304">
        <f t="shared" ref="C5:K5" si="0">C3*25</f>
        <v>25</v>
      </c>
      <c r="D5" s="304">
        <f t="shared" si="0"/>
        <v>125</v>
      </c>
      <c r="E5" s="304">
        <f t="shared" si="0"/>
        <v>200</v>
      </c>
      <c r="F5" s="304">
        <f t="shared" si="0"/>
        <v>157.5</v>
      </c>
      <c r="G5" s="304">
        <f t="shared" si="0"/>
        <v>150</v>
      </c>
      <c r="H5" s="304">
        <f t="shared" si="0"/>
        <v>100</v>
      </c>
      <c r="I5" s="304">
        <f t="shared" si="0"/>
        <v>100</v>
      </c>
      <c r="J5" s="304">
        <f t="shared" si="0"/>
        <v>50</v>
      </c>
      <c r="K5" s="304">
        <f t="shared" si="0"/>
        <v>50</v>
      </c>
      <c r="L5" s="304">
        <f>L3*25</f>
        <v>25</v>
      </c>
    </row>
    <row r="6" spans="1:12" ht="0.75" customHeight="1" x14ac:dyDescent="0.35">
      <c r="A6" s="311"/>
      <c r="B6" s="322"/>
      <c r="C6" s="130"/>
      <c r="D6" s="130"/>
      <c r="E6" s="120"/>
      <c r="F6" s="120"/>
      <c r="G6" s="120"/>
      <c r="H6" s="120"/>
      <c r="I6" s="120"/>
      <c r="J6" s="185"/>
      <c r="K6" s="185"/>
      <c r="L6" s="120"/>
    </row>
    <row r="7" spans="1:12" ht="18" customHeight="1" x14ac:dyDescent="0.35">
      <c r="A7" s="312" t="s">
        <v>61</v>
      </c>
      <c r="B7" s="323">
        <v>156</v>
      </c>
      <c r="C7" s="315">
        <f ca="1">(COUNTIF($C$4:$AA$33,$AF$35))</f>
        <v>4</v>
      </c>
      <c r="D7" s="306"/>
      <c r="E7" s="306">
        <f ca="1">(COUNTIF($C$4:$AA$35,$AH$35))</f>
        <v>48</v>
      </c>
      <c r="F7" s="306">
        <f ca="1">(COUNTIF($C$4:$AA$35,$AI$35))</f>
        <v>46</v>
      </c>
      <c r="G7" s="306">
        <f ca="1">(COUNTIF($C$4:$AA$35,$AJ$35))</f>
        <v>42</v>
      </c>
      <c r="H7" s="306">
        <f ca="1">(COUNTIF($C$4:$AA$35,$AK$35))</f>
        <v>16</v>
      </c>
      <c r="I7" s="306">
        <f ca="1">(COUNTIF($C$4:$AA$35,$AL$35))</f>
        <v>29</v>
      </c>
      <c r="J7" s="306">
        <f ca="1">(COUNTIF($C$4:$AA$35,$AM$35))</f>
        <v>4</v>
      </c>
      <c r="K7" s="306">
        <f ca="1">(COUNTIF($C$4:$AA$35,$AN$35))</f>
        <v>13</v>
      </c>
      <c r="L7" s="306">
        <f ca="1">(COUNTIF($C$4:$AA$35,"SG"))</f>
        <v>1</v>
      </c>
    </row>
    <row r="8" spans="1:12" ht="18" customHeight="1" x14ac:dyDescent="0.35">
      <c r="A8" s="312" t="s">
        <v>249</v>
      </c>
      <c r="B8" s="324">
        <f ca="1">E8+F8+G8+H8+I8+K8+C8+J8+L8</f>
        <v>216.5</v>
      </c>
      <c r="C8" s="316">
        <f ca="1">COUNTIF($C$4:$AA$4,$AF$35)*$AB$4+COUNTIF($C$5:$AA$5,$AF$35)*$AB$5+COUNTIF($C$6:$AA$6,$AF$35)*$AB$6+COUNTIF($C$7:$AA$7,$AF$35)*$AB$7+COUNTIF($C$8:$AA$8,$AF$35)*$AB$8+COUNTIF($C$9:$AA$9,$AF$35)*$AB$9+COUNTIF($C$10:$AA$10,$AF$35)*$AB$10+COUNTIF($C$11:$AA$11,$AF$35)*$AB$11+COUNTIF($C$12:$AA$12,$AF$35)*$AB$12+COUNTIF($C$13:$AA$13,$AF$35)*$AB$13+COUNTIF($C$14:$AA$14,$AF$35)*$AB$14+COUNTIF($C$15:$AA$15,$AF$35)*$AB$15+COUNTIF($C$16:$AA$16,$AF$35)*$AB$16+COUNTIF($C$17:$AA$17,$AF$35)*$AB$17+COUNTIF($C$18:$AA$18,$AF$35)*$AB$18+COUNTIF($C$19:$AA$19,$AF$35)*$AB$19+COUNTIF($C$20:$AA$20,$AF$35)*$AB$20+COUNTIF($C$21:$AA$21,$AF$35)*$AB$21+COUNTIF($C$22:$AA$22,$AF$35)*$AB$22+COUNTIF($C$23:$AA$23,$AF$35)*$AB$23+COUNTIF($C$24:$AA$24,$AF$35)*$AB$24+COUNTIF($C$25:$AA$25,$AF$35)*$AB$25+COUNTIF($C$26:$AA$26,$AF$35)*$AB$26+COUNTIF($C$27:$AA$27,$AF$35)*$AB$27+COUNTIF($C$28:$AA$28,$AF$35)*$AB$28+COUNTIF($C$29:$AA$29,$AF$35)*$AB$29+COUNTIF($C$30:$AA$30,$AF$35)*$AB$30+COUNTIF($C$31:$AA$31,$AF$35)*$AB$31+COUNTIF($C$32:$AA$32,$AF$35)*$AB$32+COUNTIF($C$33:$AA$33,$AF$35)*$AB$33+COUNTIF($C$34:$AA$34,$AF$35)*$AB$34</f>
        <v>2</v>
      </c>
      <c r="D8" s="295">
        <f>4+4+4.25+7.125+3.25</f>
        <v>22.625</v>
      </c>
      <c r="E8" s="295">
        <f ca="1">COUNTIF($C$4:$AA$4,$AH$35)*$AB$4+COUNTIF($C$5:$AA$5,$AH$35)*$AB$5+COUNTIF($C$6:$AA$6,$AH$35)*$AB$6+COUNTIF($C$7:$AA$7,$AH$35)*$AB$7+COUNTIF($C$8:$AA$8,$AH$35)*$AB$8+COUNTIF($C$9:$AA$9,$AH$35)*$AB$9+COUNTIF($C$10:$AA$10,$AH$35)*$AB$10+COUNTIF($C$11:$AA$11,$AH$35)*$AB$11+COUNTIF($C$12:$AA$12,$AH$35)*$AB$12+COUNTIF($C$13:$AA$13,$AH$35)*$AB$13+COUNTIF($C$14:$AA$14,$AH$35)*$AB$14+COUNTIF($C$15:$AA$15,$AH$35)*$AB$15+COUNTIF($C$16:$AA$16,$AH$35)*$AB$16+COUNTIF($C$17:$AA$17,$AH$35)*$AB$17+COUNTIF($C$18:$AA$18,$AH$35)*$AB$18+COUNTIF($C$19:$AA$19,$AH$35)*$AB$19+COUNTIF($C$20:$AA$20,$AH$35)*$AB$20+COUNTIF($C$21:$AA$21,$AH$35)*$AB$21+COUNTIF($C$22:$AA$22,$AH$35)*$AB$22+COUNTIF($C$23:$AA$23,$AH$35)*$AB$23+COUNTIF($C$24:$AA$24,$AH$35)*$AB$24+COUNTIF($C$25:$AA$25,$AH$35)*$AB$25+COUNTIF($C$26:$AA$26,$AH$35)*$AB$26+COUNTIF($C$27:$AA$27,$AH$35)*$AB$27+COUNTIF($C$28:$AA$28,$AH$35)*$AB$28+COUNTIF($C$29:$AA$29,$AH$35)*$AB$29+COUNTIF($C$30:$AA$30,$AH$35)*$AB$30+COUNTIF($C$31:$AA$31,$AH$35)*$AB$31+COUNTIF($C$32:$AA$32,$AH$35)*$AB$32+COUNTIF($C$33:$AA$33,$AH$35)*$AB$33+COUNTIF($C$34:$AA$34,$AH$35)*$AB$34</f>
        <v>52.5</v>
      </c>
      <c r="F8" s="295">
        <f ca="1">COUNTIF($C$4:$AA$4,F2)*$AB$4+COUNTIF($C$5:$AA$5,$AI$35)*$AB$5+COUNTIF($C$6:$AA$6,$AI$35)*$AB$6+COUNTIF($C$7:$AA$7,$AI$35)*$AB$7+COUNTIF($C$8:$AA$8,$AI$35)*$AB$8++COUNTIF($C$9:$AA$9,$AI$35)*$AB$9+COUNTIF($C$10:$AA$10,$AI$35)*$AB$10+COUNTIF($C$11:$AA$11,$AI$35)*0.5*$AB$11+COUNTIF($C$12:$AA$12,$AI$35)*$AB$12+COUNTIF($C$13:$AA$13,$AI$35)*$AB$13+COUNTIF($C$14:$AA$14,$AI$35)*$AB$14+COUNTIF($C$15:$AA$15,$AI$35)*$AB$15+COUNTIF($C$16:$AA$16,$AI$35)*$AB$16+COUNTIF($C$17:$AA$17,$AI$35)*$AB$17+COUNTIF($C$18:$AA$18,$AI$35)*$AB$18+COUNTIF($C$19:$AA$19,$AI$35)*$AB$19+COUNTIF($C$20:$AA$20,$AI$35)*$AB$20+COUNTIF($C$21:$AA$21,$AI$35)*$AB$21+COUNTIF($C$22:$AA$22,$AI$35)*$AB$22+COUNTIF($C$23:$AA$23,$AI$35)*$AB$23+COUNTIF($C$24:$AA$24,$AI$35)*$AB$24+COUNTIF($C$25:$AA$25,$AI$35)*$AB$25+COUNTIF($C$26:$AA$26,$AI$35)*$AB$26+COUNTIF($C$27:$AA$27,$AI$35)*$AB$27+COUNTIF($C$28:$AA$28,$AI$35)*$AB$28+COUNTIF($C$29:$AA$29,$AI$35)*$AB$29+COUNTIF($C$30:$AA$30,$AI$35)*$AB$30+COUNTIF($C$31:$AA$31,$AI$35)*$AB$31+COUNTIF($C$32:$AA$32,$AI$35)*$AB$32+COUNTIF($C$33:$AA$33,$AI$35)*$AB$33+COUNTIF($C$34:$AA$34,$AI$35)*$AB$34</f>
        <v>48.75</v>
      </c>
      <c r="G8" s="295">
        <f ca="1">COUNTIF($C$4:$AA$4,$AJ$35)*$AB$4+COUNTIF($C$5:$AA$5,$AJ$35)*$AB$5+COUNTIF($C$6:$AA$6,$AJ$35)*$AB$6+COUNTIF($C$7:$AA$7,$AJ$35)*$AB$7+COUNTIF($C$8:$AA$8,$AJ$35)*$AB$8+COUNTIF($C$9:$AA$9,$AJ$35)*$AB$9+COUNTIF($C$10:$AA$10,$AJ$35)*$AB$10+COUNTIF($C$11:$AA$11,$AJ$35)*$AB$11+COUNTIF($C$12:$AA$12,$AJ$35)*$AB$12+COUNTIF($C$13:$AA$13,$AJ$35)*$AB$13+COUNTIF($C$14:$AA$14,$AJ$35)*$AB$14+COUNTIF($C$15:$AA$15,$AJ$35)*$AB$15+COUNTIF($C$16:$AA$16,$AJ$35)*$AB$16+COUNTIF($C$17:$AA$17,$AJ$35)*$AB$17+COUNTIF($C$18:$AA$18,$AJ$35)*$AB$18+COUNTIF($C$19:$AA$19,$AJ$35)*$AB$19+COUNTIF($C$20:$AA$20,$AJ$35)*$AB$20+COUNTIF($C$21:$AA$21,$AJ$35)*$AB$21+COUNTIF($C$22:$AA$22,$AJ$35)*$AB$22+COUNTIF($C$23:$AA$23,$AJ$35)*$AB$23+COUNTIF($C$24:$AA$24,$AJ$35)*$AB$24+COUNTIF($C$25:$AA$25,$AJ$35)*$AB$25+COUNTIF($C$26:$AA$26,$AJ$35)*$AB$26+COUNTIF($C$27:$AA$27,$AJ$35)*$AB$27+COUNTIF($C$28:$AA$28,$AJ$35)*$AB$28+COUNTIF($C$29:$AA$29,$AJ$35)*$AB$29+COUNTIF($C$30:$AA$30,$AJ$35)*$AB$96+COUNTIF($C$31:$AA$31,$AJ$35)*$AB$31+COUNTIF($C$32:$AA$32,$AJ$35)*$AB$32+COUNTIF($C$33:$AA$33,$AJ$35)*$AB$33+COUNTIF($C$34:$AA$34,$AJ$35)*$AB$34</f>
        <v>46</v>
      </c>
      <c r="H8" s="295">
        <f ca="1">COUNTIF($C$4:$AA$4,$AK$35)*$AB$4+COUNTIF($C$5:$AA$5,$AK$35)*$AB$5+COUNTIF($C$6:$AA$6,$AK$35)*$AB$6+COUNTIF($C$7:$AA$7,$AK$35)*$AB$7+COUNTIF($C$8:$AA$8,$AK$35)*$AB$8+COUNTIF($C$9:$AA$9,$AK$35)*$AB$9+COUNTIF($C$10:$AA$10,$AK$35)*$AB$10+COUNTIF($C$11:$AA$11,$AK$35)*$AB$11+COUNTIF($C$12:$AA$12,$AK$35)*$AB$12+COUNTIF($C$13:$AA$13,$AK$35)*$AB$13+COUNTIF($C$14:$AA$14,$AK$35)*$AB$14+COUNTIF($C$15:$AA$15,$AK$35)*$AB$15+COUNTIF($C$16:$AA$16,$AK$35)*$AB$16+COUNTIF($C$17:$AA$17,$AK$35)*$AB$17+COUNTIF($C$18:$AA$18,$AK$35)*$AB$18+COUNTIF($C$19:$AA$19,$AK$35)*$AB$19+COUNTIF($C$20:$AA$20,$AK$35)*$AB$20+COUNTIF($C$21:$AA$21,$AK$35)*$AB$21+COUNTIF($C$22:$AA$22,$AK$35)*$AB$22+COUNTIF($C$23:$AA$23,$AK$35)*$AB$23+COUNTIF($C$24:$AA$24,$AK$35)*$AB$24+COUNTIF($C$25:$AA$25,$AK$35)*$AB$25+COUNTIF($C$26:$AA$26,$AK$35)*$AB$26+COUNTIF($C$27:$AA$27,$AK$35)*$AB$27+COUNTIF($C$28:$AA$28,$AK$35)*$AB$28+COUNTIF($C$29:$AA$29,$AK$35)*$AB$29+COUNTIF($C$30:$AA$30,$AK$35)*$AB$30+COUNTIF($C$31:$AA$31,$AK$35)*$AB$31+COUNTIF($C$32:$AA$32,$AK$35)*$AB$32+COUNTIF($C$33:$AA$33,$AK$35)*$AB$33+COUNTIF($C$34:$AA$34,$AK$35)*$AB$34</f>
        <v>21.75</v>
      </c>
      <c r="I8" s="295">
        <f ca="1">COUNTIF($C$4:$AA$4,$AL$35)*$AB$4+COUNTIF($C$5:$AA$5,$AL$35)*$AB$5+COUNTIF($C$6:$AA$6,$AL$35)*$AB$6+COUNTIF($C$7:$AA$7,$AL$35)*$AB$7+COUNTIF($C$8:$AA$8,$AL$35)*$AB$8+COUNTIF($C$9:$AA$9,$AL$35)*$AB$9+COUNTIF($C$10:$AA$10,$AL$35)*$AB$10+COUNTIF($C$11:$AA$11,$AL$35)*$AB$11+COUNTIF($C$12:$AA$12,$AL$35)*$AB$12+COUNTIF($C$13:$AA$13,$AL$35)*$AB$13+COUNTIF($C$14:$AA$14,$AL$35)*$AB$14+COUNTIF($C$15:$AA$15,$AL$35)*$AB$15+COUNTIF($C$16:$AA$16,$AL$35)*$AB$16+COUNTIF($C$17:$AA$17,$AL$35)*$AB$17+COUNTIF($C$18:$AA$18,$AL$35)*$AB$18+COUNTIF($C$19:$AA$19,$AL$35)*$AB$19+COUNTIF($C$20:$AA$20,$AL$35)*$AB$20+COUNTIF($C$21:$AA$21,$AL$35)*$AB$21+COUNTIF($C$22:$AA$22,$AL$35)*$AB$22+COUNTIF($C$23:$AA$23,$AL$35)*$AB$23+COUNTIF($C$24:$AA$24,$AL$35)*$AB$24+COUNTIF($C$25:$AA$25,$AL$35)*$AB$25+COUNTIF($C$26:$AA$26,$AL$35)*$AB$26+COUNTIF($C$27:$AA$27,$AL$35)*$AB$27+COUNTIF($C$28:$AA$28,$AL$35)*$AB$28+COUNTIF($C$29:$AA$29,$AL$35)*$AB$29+COUNTIF($C$30:$AA$30,$AL$35)*$AB$30+COUNTIF($C$31:$AA$31,$AL$35)*$AB$31+COUNTIF($C$32:$AA$32,$AL$35)*$AB$32+COUNTIF($C$33:$AA$33,$AL$35)*$AB$33+COUNTIF($C$34:$AA$34,$AL$35)*$AB$34</f>
        <v>27.25</v>
      </c>
      <c r="J8" s="295">
        <f ca="1">COUNTIF($C$4:$AA$4,$AM$35)*$AB$4+COUNTIF($C$5:$AA$5,$AM$35)*$AB$5+COUNTIF($C$6:$AA$6,$AM$35)*$AB$6+COUNTIF($C$7:$AA$7,$AM$35)*$AB$7+COUNTIF($C$8:$AA$8,$AM$35)*$AB$8+COUNTIF($C$9:$AA$9,$AM$35)*$AB$9+COUNTIF($C$10:$AA$10,$AM$35)*$AB$10+COUNTIF($C$11:$AA$11,$AM$35)*$AB$11+COUNTIF($C$12:$AA$12,$AM$35)*$AB$12+COUNTIF($C$13:$AA$13,$AM$35)*$AB$13+COUNTIF($C$14:$AA$14,$AM$35)*$AB$14+COUNTIF($C$15:$AA$15,$AM$35)*$AB$15+COUNTIF($C$16:$AA$16,$AM$35)*$AB$16+COUNTIF($C$17:$AA$17,$AM$35)*$AB$17+COUNTIF($C$18:$AA$18,$AM$35)*$AB$18+COUNTIF($C$19:$AA$19,$AM$35)*$AB$19+COUNTIF($C$20:$AA$20,$AM$35)*$AB$20+COUNTIF($C$21:$AA$21,$AM$35)*$AB$21+COUNTIF($C$22:$AA$22,$AM$35)*$AB$22+COUNTIF($C$23:$AA$23,$AM$35)*$AB$23+COUNTIF($C$24:$AA$24,$AM$35)*$AB$24+COUNTIF($C$25:$AA$25,$AM$35)*$AB$25+COUNTIF($C$26:$AA$26,$AM$35)*$AB$26+COUNTIF($C$27:$AA$27,$AM$35)*$AB$27+COUNTIF($C$28:$AA$28,$AM$35)*$AB$28+COUNTIF($C$29:$AA$29,$AM$35)*$AB$29+COUNTIF($C$30:$AA$30,$AM$35)*$AB$30+COUNTIF($C$31:$AA$31,$AM$35)*$AB$31+COUNTIF($C$32:$AA$32,$AM$35)*$AB$32+COUNTIF($C$33:$AA$33,$AM$35)*$AB$33+COUNTIF($C$34:$AA$34,$AM$35)*$AB$34</f>
        <v>5</v>
      </c>
      <c r="K8" s="295">
        <f ca="1">COUNTIF($C$4:$AA$4,$AN$35)*$AB$4+COUNTIF($C$5:$AA$5,$AN$35)*$AB$5+COUNTIF($C$6:$AA$6,$AN$35)*$AB$6+COUNTIF($C$7:$AA$7,$AN$35)*$AB$7+COUNTIF($C$8:$AA$8,$AN$35)*$AB$8+COUNTIF($C$9:$AA$9,$AN$35)*$AB$9+COUNTIF($C$10:$AA$10,$AN$35)*$AB$10+COUNTIF($C$11:$AA$11,$AN$35)*$AB$11+COUNTIF($C$12:$AA$12,$AN$35)*$AB$12+COUNTIF($C$13:$AA$13,$AN$35)*$AB$13+COUNTIF($C$14:$AA$14,$AN$35)*$AB$14+COUNTIF($C$15:$AA$15,$AN$35)*$AB$15+COUNTIF($C$16:$AA$16,$AN$35)*$AB$16+COUNTIF($C$17:$AA$17,$AN$35)*$AB$17+COUNTIF($C$18:$AA$18,$AN$35)*$AB$18+COUNTIF($C$19:$AA$19,$AN$35)*$AB$19+COUNTIF($C$20:$AA$20,$AN$35)*$AB$20+COUNTIF($C$21:$AA$21,$AN$35)*$AB$21+COUNTIF($C$22:$AA$22,$AN$35)*$AB$22+COUNTIF($C$23:$AA$23,$AN$35)*$AB$23+COUNTIF($C$24:$AA$24,$AN$35)*$AB$24+COUNTIF($C$25:$AA$25,$AN$35)*$AB$25+COUNTIF($C$26:$AA$26,$AN$35)*$AB$26+COUNTIF($C$27:$AA$27,$AN$35)*$AB$27+COUNTIF($C$28:$AA$28,$AN$35)*$AB$28+COUNTIF($C$29:$AA$29,$AN$35)*$AB$29+COUNTIF($C$30:$AA$30,$AN$35)*$AB$30+COUNTIF($C$31:$AA$31,$AN$35)*$AB$31+COUNTIF($C$32:$AA$32,$AN$35)*$AB$32+COUNTIF($C$33:$AA$33,$AN$35)*$AB$33+COUNTIF($C$34:$AA$34,$AN$35)*$AB$34</f>
        <v>12</v>
      </c>
      <c r="L8" s="295">
        <f ca="1">L7*1.25</f>
        <v>1.25</v>
      </c>
    </row>
    <row r="9" spans="1:12" ht="18" customHeight="1" x14ac:dyDescent="0.35">
      <c r="A9" s="312" t="s">
        <v>240</v>
      </c>
      <c r="B9" s="323"/>
      <c r="C9" s="294"/>
      <c r="D9" s="294"/>
      <c r="E9" s="306">
        <f ca="1">E7/E3</f>
        <v>6</v>
      </c>
      <c r="F9" s="306">
        <f t="shared" ref="F9:L9" ca="1" si="1">F7/F3</f>
        <v>7.3015873015873014</v>
      </c>
      <c r="G9" s="306">
        <f t="shared" ca="1" si="1"/>
        <v>7</v>
      </c>
      <c r="H9" s="306">
        <f t="shared" ca="1" si="1"/>
        <v>4</v>
      </c>
      <c r="I9" s="306">
        <f t="shared" ca="1" si="1"/>
        <v>7.25</v>
      </c>
      <c r="J9" s="306">
        <f t="shared" ca="1" si="1"/>
        <v>2</v>
      </c>
      <c r="K9" s="306">
        <f t="shared" ca="1" si="1"/>
        <v>6.5</v>
      </c>
      <c r="L9" s="306">
        <f t="shared" ca="1" si="1"/>
        <v>1</v>
      </c>
    </row>
    <row r="10" spans="1:12" ht="18" customHeight="1" x14ac:dyDescent="0.35">
      <c r="A10" s="312" t="s">
        <v>250</v>
      </c>
      <c r="B10" s="324">
        <f ca="1">(B8-D8)/B4</f>
        <v>5.875</v>
      </c>
      <c r="C10" s="316">
        <f ca="1">C8/C4</f>
        <v>2</v>
      </c>
      <c r="D10" s="295"/>
      <c r="E10" s="295">
        <f ca="1">(E8-4)/E4</f>
        <v>6.0625</v>
      </c>
      <c r="F10" s="295">
        <f ca="1">(F8-2.75)/F3</f>
        <v>7.3015873015873014</v>
      </c>
      <c r="G10" s="295">
        <f ca="1">(G8-4)/G4</f>
        <v>7</v>
      </c>
      <c r="H10" s="295">
        <f ca="1">(H8-7.125)/H4</f>
        <v>3.65625</v>
      </c>
      <c r="I10" s="295">
        <f ca="1">(I8-3.25)/I4</f>
        <v>6</v>
      </c>
      <c r="J10" s="295">
        <f ca="1">J8/J4</f>
        <v>2.5</v>
      </c>
      <c r="K10" s="295">
        <f ca="1">(K8-1.25)/K4</f>
        <v>5.375</v>
      </c>
      <c r="L10" s="295">
        <f ca="1">L8/L4</f>
        <v>1.25</v>
      </c>
    </row>
    <row r="11" spans="1:12" ht="18" customHeight="1" x14ac:dyDescent="0.35">
      <c r="A11" s="310" t="s">
        <v>62</v>
      </c>
      <c r="B11" s="321">
        <f>E11+F11+G11+H11+I11+K11</f>
        <v>400</v>
      </c>
      <c r="C11" s="298"/>
      <c r="D11" s="298"/>
      <c r="E11" s="299">
        <f>25*2*2</f>
        <v>100</v>
      </c>
      <c r="F11" s="299">
        <f>25*2*2</f>
        <v>100</v>
      </c>
      <c r="G11" s="300">
        <f>25*2</f>
        <v>50</v>
      </c>
      <c r="H11" s="300">
        <f t="shared" ref="H11:K11" si="2">25*2</f>
        <v>50</v>
      </c>
      <c r="I11" s="300">
        <f t="shared" si="2"/>
        <v>50</v>
      </c>
      <c r="J11" s="300"/>
      <c r="K11" s="300">
        <f t="shared" si="2"/>
        <v>50</v>
      </c>
      <c r="L11" s="300"/>
    </row>
    <row r="12" spans="1:12" ht="18" customHeight="1" x14ac:dyDescent="0.35">
      <c r="A12" s="313" t="s">
        <v>90</v>
      </c>
      <c r="B12" s="325">
        <f>(B11-9)/B3</f>
        <v>10.025641025641026</v>
      </c>
      <c r="C12" s="317">
        <f>C11/C3</f>
        <v>0</v>
      </c>
      <c r="D12" s="307"/>
      <c r="E12" s="307">
        <f t="shared" ref="E12:L12" si="3">E11/E3</f>
        <v>12.5</v>
      </c>
      <c r="F12" s="307">
        <f t="shared" si="3"/>
        <v>15.873015873015873</v>
      </c>
      <c r="G12" s="307">
        <f t="shared" si="3"/>
        <v>8.3333333333333339</v>
      </c>
      <c r="H12" s="307">
        <f t="shared" si="3"/>
        <v>12.5</v>
      </c>
      <c r="I12" s="307">
        <f t="shared" si="3"/>
        <v>12.5</v>
      </c>
      <c r="J12" s="307">
        <f t="shared" si="3"/>
        <v>0</v>
      </c>
      <c r="K12" s="307">
        <f t="shared" si="3"/>
        <v>25</v>
      </c>
      <c r="L12" s="307">
        <f t="shared" si="3"/>
        <v>0</v>
      </c>
    </row>
    <row r="13" spans="1:12" ht="18" customHeight="1" x14ac:dyDescent="0.35">
      <c r="A13" s="314" t="s">
        <v>43</v>
      </c>
      <c r="B13" s="326">
        <f ca="1">B5-B8-B11</f>
        <v>183.5</v>
      </c>
      <c r="C13" s="318"/>
      <c r="D13" s="305"/>
      <c r="E13" s="305">
        <f t="shared" ref="E13:L13" ca="1" si="4">E5-E8-E11</f>
        <v>47.5</v>
      </c>
      <c r="F13" s="305">
        <f t="shared" ca="1" si="4"/>
        <v>8.75</v>
      </c>
      <c r="G13" s="305">
        <f t="shared" ca="1" si="4"/>
        <v>54</v>
      </c>
      <c r="H13" s="305">
        <f t="shared" ca="1" si="4"/>
        <v>28.25</v>
      </c>
      <c r="I13" s="305">
        <f t="shared" ca="1" si="4"/>
        <v>22.75</v>
      </c>
      <c r="J13" s="305">
        <f t="shared" ca="1" si="4"/>
        <v>45</v>
      </c>
      <c r="K13" s="305">
        <f t="shared" ca="1" si="4"/>
        <v>-12</v>
      </c>
      <c r="L13" s="305">
        <f t="shared" ca="1" si="4"/>
        <v>23.75</v>
      </c>
    </row>
    <row r="14" spans="1:12" ht="18" customHeight="1" x14ac:dyDescent="0.35">
      <c r="A14" s="314" t="s">
        <v>67</v>
      </c>
      <c r="B14" s="328">
        <f ca="1">B13/33</f>
        <v>5.5606060606060606</v>
      </c>
      <c r="C14" s="301"/>
      <c r="D14" s="301"/>
      <c r="E14" s="329">
        <f t="shared" ref="E14:L14" ca="1" si="5">E13/E3</f>
        <v>5.9375</v>
      </c>
      <c r="F14" s="329">
        <f t="shared" ca="1" si="5"/>
        <v>1.3888888888888888</v>
      </c>
      <c r="G14" s="329">
        <f t="shared" ca="1" si="5"/>
        <v>9</v>
      </c>
      <c r="H14" s="329">
        <f t="shared" ca="1" si="5"/>
        <v>7.0625</v>
      </c>
      <c r="I14" s="329">
        <f t="shared" ca="1" si="5"/>
        <v>5.6875</v>
      </c>
      <c r="J14" s="329">
        <f t="shared" ca="1" si="5"/>
        <v>22.5</v>
      </c>
      <c r="K14" s="329">
        <f t="shared" ca="1" si="5"/>
        <v>-6</v>
      </c>
      <c r="L14" s="329">
        <f t="shared" ca="1" si="5"/>
        <v>23.75</v>
      </c>
    </row>
    <row r="15" spans="1:12" ht="16" thickBot="1" x14ac:dyDescent="0.4">
      <c r="A15" s="314" t="s">
        <v>252</v>
      </c>
      <c r="B15" s="327">
        <f ca="1">B14/2</f>
        <v>2.7803030303030303</v>
      </c>
      <c r="C15" s="301"/>
      <c r="D15" s="301"/>
      <c r="E15" s="302">
        <f ca="1">E14/2</f>
        <v>2.96875</v>
      </c>
      <c r="F15" s="302">
        <f ca="1">F14/2</f>
        <v>0.69444444444444442</v>
      </c>
      <c r="G15" s="302">
        <f ca="1">G14/2</f>
        <v>4.5</v>
      </c>
      <c r="H15" s="302">
        <f ca="1">H14/2</f>
        <v>3.53125</v>
      </c>
      <c r="I15" s="302">
        <f ca="1">I14/2</f>
        <v>2.84375</v>
      </c>
      <c r="J15" s="303"/>
      <c r="K15" s="303">
        <f ca="1">K14/2</f>
        <v>-3</v>
      </c>
      <c r="L15" s="302"/>
    </row>
    <row r="16" spans="1:12" ht="16" thickBot="1" x14ac:dyDescent="0.4">
      <c r="A16" s="330" t="s">
        <v>256</v>
      </c>
    </row>
    <row r="17" spans="1:12" ht="15.5" x14ac:dyDescent="0.35">
      <c r="A17" s="308"/>
      <c r="B17" s="319" t="s">
        <v>253</v>
      </c>
      <c r="C17" s="134" t="s">
        <v>251</v>
      </c>
      <c r="D17" s="134" t="s">
        <v>102</v>
      </c>
      <c r="E17" s="106" t="s">
        <v>99</v>
      </c>
      <c r="F17" s="107" t="s">
        <v>45</v>
      </c>
      <c r="G17" s="108" t="s">
        <v>44</v>
      </c>
      <c r="H17" s="170" t="s">
        <v>97</v>
      </c>
      <c r="I17" s="104" t="s">
        <v>46</v>
      </c>
      <c r="J17" s="186" t="s">
        <v>186</v>
      </c>
      <c r="K17" s="188" t="s">
        <v>261</v>
      </c>
      <c r="L17" s="190" t="s">
        <v>31</v>
      </c>
    </row>
    <row r="18" spans="1:12" ht="15.5" x14ac:dyDescent="0.35">
      <c r="A18" s="309" t="s">
        <v>100</v>
      </c>
      <c r="B18" s="320">
        <v>39</v>
      </c>
      <c r="C18" s="127">
        <v>1</v>
      </c>
      <c r="D18" s="127">
        <v>5</v>
      </c>
      <c r="E18" s="110">
        <v>8</v>
      </c>
      <c r="F18" s="111">
        <v>6.3</v>
      </c>
      <c r="G18" s="112">
        <v>6</v>
      </c>
      <c r="H18" s="113">
        <v>4</v>
      </c>
      <c r="I18" s="114">
        <v>4</v>
      </c>
      <c r="J18" s="187">
        <v>2</v>
      </c>
      <c r="K18" s="189">
        <v>2</v>
      </c>
      <c r="L18" s="191">
        <v>1</v>
      </c>
    </row>
    <row r="19" spans="1:12" ht="15.5" x14ac:dyDescent="0.35">
      <c r="A19" s="310" t="s">
        <v>101</v>
      </c>
      <c r="B19" s="321">
        <v>33</v>
      </c>
      <c r="C19" s="289">
        <v>1</v>
      </c>
      <c r="D19" s="289"/>
      <c r="E19" s="290">
        <v>8</v>
      </c>
      <c r="F19" s="290">
        <v>6</v>
      </c>
      <c r="G19" s="290">
        <v>6</v>
      </c>
      <c r="H19" s="290">
        <v>4</v>
      </c>
      <c r="I19" s="290">
        <v>4</v>
      </c>
      <c r="J19" s="291">
        <v>2</v>
      </c>
      <c r="K19" s="291">
        <v>2</v>
      </c>
      <c r="L19" s="290">
        <v>1</v>
      </c>
    </row>
    <row r="20" spans="1:12" ht="15.5" x14ac:dyDescent="0.35">
      <c r="A20" s="310" t="s">
        <v>254</v>
      </c>
      <c r="B20" s="321">
        <f>(B18-7)*25</f>
        <v>800</v>
      </c>
      <c r="C20" s="304">
        <f t="shared" ref="C20:K20" si="6">C18*25</f>
        <v>25</v>
      </c>
      <c r="D20" s="304">
        <f t="shared" si="6"/>
        <v>125</v>
      </c>
      <c r="E20" s="304">
        <f t="shared" si="6"/>
        <v>200</v>
      </c>
      <c r="F20" s="304">
        <f t="shared" si="6"/>
        <v>157.5</v>
      </c>
      <c r="G20" s="304">
        <f t="shared" si="6"/>
        <v>150</v>
      </c>
      <c r="H20" s="304">
        <f t="shared" si="6"/>
        <v>100</v>
      </c>
      <c r="I20" s="304">
        <f t="shared" si="6"/>
        <v>100</v>
      </c>
      <c r="J20" s="304">
        <f t="shared" si="6"/>
        <v>50</v>
      </c>
      <c r="K20" s="304">
        <f t="shared" si="6"/>
        <v>50</v>
      </c>
      <c r="L20" s="304">
        <f>L18*25</f>
        <v>25</v>
      </c>
    </row>
    <row r="21" spans="1:12" ht="15.5" x14ac:dyDescent="0.35">
      <c r="A21" s="311"/>
      <c r="B21" s="322"/>
      <c r="C21" s="130"/>
      <c r="D21" s="130"/>
      <c r="E21" s="120"/>
      <c r="F21" s="120"/>
      <c r="G21" s="120"/>
      <c r="H21" s="120"/>
      <c r="I21" s="120"/>
      <c r="J21" s="185"/>
      <c r="K21" s="185"/>
      <c r="L21" s="120"/>
    </row>
    <row r="22" spans="1:12" ht="15.5" x14ac:dyDescent="0.35">
      <c r="A22" s="312" t="s">
        <v>61</v>
      </c>
      <c r="B22" s="323">
        <v>156</v>
      </c>
      <c r="C22" s="315">
        <f ca="1">(COUNTIF($C$4:$AA$33,$AF$36))</f>
        <v>5</v>
      </c>
      <c r="D22" s="306"/>
      <c r="E22" s="306">
        <f ca="1">(COUNTIF($C$4:$AA$33,$AH$36))</f>
        <v>46</v>
      </c>
      <c r="F22" s="306">
        <f ca="1">(COUNTIF($C$4:$AA$33,$AI$36))</f>
        <v>57</v>
      </c>
      <c r="G22" s="306">
        <f ca="1">(COUNTIF($C$4:$AA$33,$AJ$36))</f>
        <v>42</v>
      </c>
      <c r="H22" s="306">
        <f ca="1">(COUNTIF($C$4:$AA$33,$AK$36))</f>
        <v>13</v>
      </c>
      <c r="I22" s="306">
        <f ca="1">(COUNTIF($C$4:$AA$33,$AL$36))</f>
        <v>29</v>
      </c>
      <c r="J22" s="306">
        <f ca="1">(COUNTIF($C$4:$AA$33,$AM$36))</f>
        <v>4</v>
      </c>
      <c r="K22" s="306">
        <f ca="1">(COUNTIF($C$4:$AA$33,$AN$36))</f>
        <v>15</v>
      </c>
      <c r="L22" s="306">
        <f ca="1">(COUNTIF($C$4:$AA$33,"SG"))</f>
        <v>1</v>
      </c>
    </row>
    <row r="23" spans="1:12" ht="15.5" x14ac:dyDescent="0.35">
      <c r="A23" s="312" t="s">
        <v>249</v>
      </c>
      <c r="B23" s="324">
        <f ca="1">E23+F23+G23+H23+I23+K23+C23+J23+L23</f>
        <v>222.5</v>
      </c>
      <c r="C23" s="316">
        <f ca="1">COUNTIF($C$4:$AA$4,$AF$36)*$AB$4+COUNTIF($C$5:$AA$5,$AF$36)*$AB$5+COUNTIF($C$6:$AA$6,$AF$36)*$AB$6+COUNTIF($C$7:$AA$7,$AF$36)*$AB$7+COUNTIF($C$8:$AA$8,$AF$36)*$AB$8+COUNTIF($C$9:$AA$9,$AF$36)*$AB$9+COUNTIF($C$10:$AA$10,$AF$36)*$AB$10+COUNTIF($C$11:$AA$11,$AF$36)*$AB$11+COUNTIF($C$12:$AA$12,$AF$36)*$AB$12+COUNTIF($C$13:$AA$13,$AF$36)*$AB$13+COUNTIF($C$14:$AA$14,$AF$36)*$AB$14+COUNTIF($C$15:$AA$15,$AF$36)*$AB$15+COUNTIF($C$16:$AA$16,$AF$36)*$AB$16+COUNTIF($C$17:$AA$17,$AF$36)*$AB$17+COUNTIF($C$18:$AA$18,$AF$36)*$AB$18+COUNTIF($C$19:$AA$19,$AF$36)*$AB$19+COUNTIF($C$20:$AA$20,$AF$36)*$AB$20+COUNTIF($C$21:$AA$21,$AF$36)*$AB$21+COUNTIF($C$22:$AA$22,$AF$36)*$AB$22+COUNTIF($C$23:$AA$23,$AF$36)*$AB$23+COUNTIF($C$24:$AA$24,$AF$36)*$AB$24+COUNTIF($C$25:$AA$25,$AF$36)*$AB$25+COUNTIF($C$26:$AA$26,$AF$36)*$AB$26+COUNTIF($C$27:$AA$27,$AF$36)*$AB$27+COUNTIF($C$28:$AA$28,$AF$36)*$AB$28+COUNTIF($C$29:$AA$29,$AF$36)*$AB$29+COUNTIF($C$30:$AA$30,$AF$36)*$AB$30+COUNTIF($C$31:$AA$31,$AF$36)*$AB$31+COUNTIF($C$32:$AA$32,$AF$36)*$AB$32+COUNTIF($C$33:$AA$33,$AF$36)*$AB$33</f>
        <v>3</v>
      </c>
      <c r="D23" s="295">
        <f>4+4+4.25+7.125+3.25</f>
        <v>22.625</v>
      </c>
      <c r="E23" s="295">
        <f ca="1">COUNTIF($C$4:$AA$4,$AH$36)*$AB$4+COUNTIF($C$5:$AA$5,$AH$36)*$AB$5+COUNTIF($C$6:$AA$6,$AH$36)*$AB$6+COUNTIF($C$7:$AA$7,$AH$36)*$AB$7+COUNTIF($H$8:$AA$8,$AH$36)*$AB$8+COUNTIF($C$9:$AA$9,$AH$36)*$AB$9+COUNTIF($C$10:$AA$10,$AH$36)*$AB$10+COUNTIF($C$11:$AA$11,$AH$36)*$AB$11+COUNTIF($C$12:$AA$12,$AH$36)*$AB$12+COUNTIF($D$13:$AA$13,$AH$36)*$AB$13+COUNTIF($C$14:$AA$14,$AH$36)*$AB$14+COUNTIF($C$15:$AA$15,$AH$36)*$AB$15+COUNTIF($C$16:$AA$16,$AH$36)*$AB$16+COUNTIF($C$17:$AA$17,$AH$36)*$AB$17+COUNTIF($D$18:$AA$18,$AH$36)*$AB$18+COUNTIF($C$19:$AA$19,$AH$36)*$AB$19+COUNTIF($C$20:$AA$20,$AH$36)*$AB$20+COUNTIF($C$21:$AA$21,$AH$36)*$AB$21+COUNTIF($C$22:$AA$22,$AH$36)*$AB$22+COUNTIF($C$23:$AA$23,$AH$36)*$AB$23+COUNTIF($C$24:$AA$24,$AH$36)*$AB$24+COUNTIF($C$25:$AA$25,$AH$36)*$AB$25+COUNTIF($C$26:$AA$26,$AH$36)*$AB$26+COUNTIF($C$27:$AA$27,$AH$36)*$AB$27+COUNTIF($C$28:$AA$28,$AH$36)*$AB$28+COUNTIF($C$29:$AA$29,$AH$36)*$AB$29+COUNTIF($C$30:$AA$30,$AH$36)*$AB$30+COUNTIF($C$31:$AA$31,$AH$36)*$AB$31+COUNTIF($C$32:$AA$32,$AH$36)*$AB$32+COUNTIF($C$33:$AA$33,$AH$36)*$AB$33</f>
        <v>51</v>
      </c>
      <c r="F23" s="295">
        <f ca="1">COUNTIF($C$4:$AA$4,$AI$36)*$AB$4+COUNTIF($C$5:$AA$5,$AI$36)*$AB$5+COUNTIF($C$6:$AA$6,$AI$36)*$AB$6+COUNTIF($C$7:$AA$7,$AI$36)*$AB$7+COUNTIF($H$8:$AA$8,$AI$36)*$AB$8+COUNTIF($C$9:$AA$9,$AI$36)*$AB$9+COUNTIF($C$10:$AA$10,$AI$36)*0.5*$AB$10+COUNTIF($C$11:$AA$11,$AI$36)*$AB$11+COUNTIF($C$12:$AA$12,$AI$36)*$AB$12+COUNTIF($D$13:$AA$13,$AI$36)*$AB$13+COUNTIF($C$14:$AA$14,$AI$36)*$AB$14+COUNTIF($C$15:$AA$15,$AI$36)*$AB$15+COUNTIF($C$16:$AA$16,$AI$36)*$AB$16+COUNTIF($C$17:$AA$17,$AI$36)*$AB$17+COUNTIF($D$18:$AA$18,$AI$36)*$AB$18+COUNTIF($C$19:$AA$19,$AI$36)*$AB$19+COUNTIF($C$20:$AA$20,$AI$36)*$AB$20+COUNTIF($C$21:$AA$21,$AI$36)*$AB$21+COUNTIF($C$22:$AA$22,$AI$36)*$AB$22+COUNTIF($C$23:$AA$23,$AI$36)*$AB$23+COUNTIF($C$24:$AA$24,$AI$36)*$AB$24+COUNTIF($C$25:$AA$25,$AI$36)*$AB$25+COUNTIF($C$26:$AA$26,$AI$36)*$AB$26+COUNTIF($C$27:$AA$27,$AI$36)*$AB$27+COUNTIF($C$28:$AA$28,$AI$36)*$AB$28+COUNTIF($C$29:$AA$29,$AI$36)*$AB$29+COUNTIF($C$30:$AA$30,$AI$36)*$AB$30+COUNTIF($C$31:$AA$31,$AI$36)*$AB$31+COUNTIF($C$32:$AA$32,$AI$36)*$AB$32+COUNTIF($C$33:$AA$33,$AI$36)*$AB$33</f>
        <v>56</v>
      </c>
      <c r="G23" s="295">
        <f ca="1">COUNTIF($C$4:$AA$4,$AJ$36)*$AB$4+COUNTIF($C$5:$AA$5,$AJ$36)*$AB$5+COUNTIF($C$6:$AA$6,$AJ$36)*$AB$6+COUNTIF($C$7:$AA$7,$AJ$36)*$AB$7+COUNTIF($H$8:$AA$8,$AJ$36)*$AB$8+COUNTIF($C$9:$AA$9,$AJ$36)*$AB$9+COUNTIF($C$10:$AA$10,$AJ$36)*$AB$10+COUNTIF($C$11:$AA$11,$AJ$36)*$AB$11+COUNTIF($C$12:$AA$12,$AJ$36)*$AB$12+COUNTIF($D$13:$AA$13,$AJ$36)*$AB$13+COUNTIF($C$14:$AA$14,$AJ$36)*$AB$14+COUNTIF($C$15:$AA$15,$AJ$36)*$AB$15+COUNTIF($C$16:$AA$16,$AJ$36)*$AB$16+COUNTIF($C$17:$AA$17,$AJ$36)*$AB$17+COUNTIF($D$18:$AA$18,$AJ$36)*$AB$18+COUNTIF($C$19:$AA$19,$AJ$36)*$AB$19+COUNTIF($C$20:$AA$20,$AJ$36)*$AB$20+COUNTIF($C$21:$AA$21,$AJ$36)*$AB$21+COUNTIF($C$22:$AA$22,$AJ$36)*$AB$22+COUNTIF($C$23:$AA$23,$AJ$36)*$AB$23+COUNTIF($C$24:$AA$24,$AJ$36)*$AB$24+COUNTIF($C$25:$AA$25,$AJ$36)*$AB$25+COUNTIF($C$26:$AA$26,$AJ$36)*$AB$26+COUNTIF($C$27:$AA$27,$AJ$36)*$AB$27+COUNTIF($C$28:$AA$28,$AJ$36)*$AB$28+COUNTIF($C$29:$AA$29,$AJ$36)*$AB$29+COUNTIF($C$30:$AA$30,$AJ$36)*$AB$30+COUNTIF($C$31:$AA$31,$AJ$36)*$AB$31+COUNTIF($C$32:$AA$32,$AJ$36)*$AB$32+COUNTIF($C$33:$AA$33,$AJ$36)*$AB$33</f>
        <v>45</v>
      </c>
      <c r="H23" s="295">
        <f ca="1">COUNTIF($C$4:$AA$4,$AK$36)*$AB$4+COUNTIF($C$5:$AA$5,$AK$36)*$AB$5+COUNTIF($C$6:$AA$6,$AK$36)*$AB$6+COUNTIF($C$7:$AA$7,$AK$36)*$AB$7+COUNTIF($H$8:$AA$8,$AK$36)*$AB$8+COUNTIF($C$9:$AA$9,$AK$36)*$AB$9+COUNTIF($C$10:$AA$10,$AK$36)*$AB$10+COUNTIF($C$11:$AA$11,$AK$36)*$AB$11+COUNTIF($C$12:$AA$12,$AK$36)*$AB$12+COUNTIF($D$13:$AA$13,$AK$36)*$AB$13+COUNTIF($C$14:$AA$14,$AK$36)*$AB$14+COUNTIF($C$15:$AA$15,$AK$36)*$AB$15+COUNTIF($C$16:$AA$16,$AK$36)*$AB$16+COUNTIF($C$17:$AA$17,$AK$36)*$AB$17+COUNTIF($D$18:$AA$18,$AK$36)*$AB$18+COUNTIF($C$19:$AA$19,$AK$36)*$AB$19+COUNTIF($C$20:$AA$20,$AK$36)*$AB$20+COUNTIF($C$21:$AA$21,$AK$36)*$AB$21+COUNTIF($C$22:$AA$22,$AK$36)*$AB$22+COUNTIF($C$23:$AA$23,$AK$36)*$AB$23+COUNTIF($C$24:$AA$24,$AK$36)*$AB$24+COUNTIF($C$25:$AA$25,$AK$36)*$AB$25+COUNTIF($C$26:$AA$26,$AK$36)*$AB$26+COUNTIF($C$27:$AA$27,$AK$36)*$AB$27+COUNTIF($C$28:$AA$28,$AK$36)*$AB$28+COUNTIF($C$29:$AA$29,$AK$36)*$AB$29+COUNTIF($C$30:$AA$30,$AK$36)*$AB$30+COUNTIF($C$31:$AA$31,$AK$36)*$AB$31+COUNTIF($C$32:$AA$32,$AK$36)*$AB$32+COUNTIF($C$33:$AA$33,$AK$36)*$AB$33</f>
        <v>19.25</v>
      </c>
      <c r="I23" s="295">
        <f ca="1">COUNTIF($C$4:$AA$4,$AL$36)*$AB$4+COUNTIF($C$5:$AA$5,$AL$36)*$AB$5+COUNTIF($C$6:$AA$6,$AL$36)*$AB$6+COUNTIF($C$7:$AA$7,$AL$36)*$AB$7+COUNTIF($H$8:$AA$8,$AL$36)*$AB$8+COUNTIF($C$9:$AA$9,$AL$36)*$AB$9+COUNTIF($C$10:$AA$10,$AL$36)*$AB$10+COUNTIF($C$11:$AA$11,$AL$36)*$AB$11+COUNTIF($C$12:$AA$12,$AL$36)*$AB$12+COUNTIF($D$13:$AA$13,$AL$36)*$AB$13+COUNTIF($C$14:$AA$14,$AL$36)*$AB$14+COUNTIF($C$15:$AA$15,$AL$36)*$AB$15+COUNTIF($C$16:$AA$16,$AL$36)*$AB$16+COUNTIF($C$17:$AA$17,$AL$36)*$AB$17+COUNTIF($D$18:$AA$18,$AL$36)*$AB$18+COUNTIF($C$19:$AA$19,$AL$36)*$AB$19+COUNTIF($C$20:$AA$20,$AL$36)*$AB$20+COUNTIF($C$21:$AA$21,$AL$36)*$AB$21+COUNTIF($C$22:$AA$22,$AL$36)*$AB$22+COUNTIF($C$23:$AA$23,$AL$36)*$AB$23+COUNTIF($C$24:$AA$24,$AL$36)*$AB$24+COUNTIF($C$25:$AA$25,$AL$36)*$AB$25+COUNTIF($C$26:$AA$26,$AL$36)*$AB$26+COUNTIF($C$27:$AA$27,$AL$36)*$AB$27+COUNTIF($C$28:$AA$28,$AL$36)*$AB$28+COUNTIF($C$29:$AA$29,$AL$36)*$AB$29+COUNTIF($C$30:$AA$30,$AL$36)*$AB$30+COUNTIF($C$31:$AA$31,$AL$36)*$AB$31+COUNTIF($C$32:$AA$32,$AL$36)*$AB$32+COUNTIF($C$33:$AA$33,$AL$36)*$AB$33</f>
        <v>27.25</v>
      </c>
      <c r="J23" s="295">
        <f ca="1">COUNTIF($C$4:$AA$4,$AM$36)*$AB$4+COUNTIF($C$5:$AA$5,$AM$36)*$AB$5+COUNTIF($C$6:$AA$6,$AM$36)*$AB$6+COUNTIF($C$7:$AA$7,$AM$36)*$AB$7+COUNTIF($H$8:$AA$8,$AM$36)*$AB$8+COUNTIF($C$9:$AA$9,$AM$36)*$AB$9+COUNTIF($C$10:$AA$10,$AM$36)*$AB$10+COUNTIF($C$11:$AA$11,$AM$36)*$AB$11+COUNTIF($C$12:$AA$12,$AM$36)*$AB$12+COUNTIF($D$13:$AA$13,$AM$36)*$AB$13+COUNTIF($C$14:$AA$14,$AM$36)*$AB$14+COUNTIF($C$15:$AA$15,$AM$36)*$AB$15+COUNTIF($C$16:$AA$16,$AM$36)*$AB$16+COUNTIF($C$17:$AA$17,$AM$36)*$AB$17+COUNTIF($D$18:$AA$18,$AM$36)*$AB$18+COUNTIF($C$19:$AA$19,$AM$36)*$AB$19+COUNTIF($C$20:$AA$20,$AM$36)*$AB$20+COUNTIF($C$21:$AA$21,$AM$36)*$AB$21+COUNTIF($C$22:$AA$22,$AM$36)*$AB$22+COUNTIF($C$23:$AA$23,$AM$36)*$AB$23+COUNTIF($C$24:$AA$24,$AM$36)*$AB$24+COUNTIF($C$25:$AA$25,$AM$36)*$AB$25+COUNTIF($C$26:$AA$26,$AM$36)*$AB$26+COUNTIF($C$27:$AA$27,$AM$36)*$AB$27+COUNTIF($C$28:$AA$28,$AM$36)*$AB$28+COUNTIF($C$29:$AA$29,$AM$36)*$AB$29+COUNTIF($C$30:$AA$30,$AM$36)*$AB$30+COUNTIF($C$31:$AA$31,$AM$36)*$AB$31+COUNTIF($C$32:$AA$32,$AM$36)*$AB$32+COUNTIF($C$33:$AA$33,$AM$36)*$AB$33</f>
        <v>5</v>
      </c>
      <c r="K23" s="295">
        <f ca="1">COUNTIF($C$4:$AA$4,$AN$36)*$AB$4+COUNTIF($C$5:$AA$5,$AN$36)*$AB$5+COUNTIF($C$6:$AA$6,$AN$36)*$AB$6+COUNTIF($C$7:$AA$7,$AN$36)*$AB$7+COUNTIF($H$8:$AA$8,$AN$36)*$AB$8+COUNTIF($C$9:$AA$9,$AN$36)*$AB$9+COUNTIF($C$10:$AA$10,$AN$36)*$AB$10+COUNTIF($C$11:$AA$11,$AN$36)*$AB$11+COUNTIF($C$12:$AA$12,$AN$36)*$AB$12+COUNTIF($D$13:$AA$13,$AN$36)*$AB$13+COUNTIF($C$14:$AA$14,$AN$36)*$AB$14+COUNTIF($C$15:$AA$15,$AN$36)*$AB$15+COUNTIF($C$16:$AA$16,$AN$36)*$AB$16+COUNTIF($C$17:$AA$17,$AN$36)*$AB$17+COUNTIF($D$18:$AA$18,$AN$36)*$AB$18+COUNTIF($C$19:$AA$19,$AN$36)*$AB$19+COUNTIF($C$20:$AA$20,$AN$36)*$AB$20+COUNTIF($C$21:$AA$21,$AN$36)*$AB$21+COUNTIF($C$22:$AA$22,$AN$36)*$AB$22+COUNTIF($C$23:$AA$23,$AN$36)*$AB$23+COUNTIF($C$24:$AA$24,$AN$36)*$AB$24+COUNTIF($C$25:$AA$25,$AN$36)*$AB$25+COUNTIF($C$26:$AA$26,$AN$36)*$AB$26+COUNTIF($C$27:$AA$27,$AN$36)*$AB$27+COUNTIF($C$28:$AA$28,$AN$36)*$AB$28+COUNTIF($C$29:$AA$29,$AN$36)*$AB$29+COUNTIF($C$30:$AA$30,$AN$36)*$AB$30+COUNTIF($C$31:$AA$31,$AN$36)*$AB$31+COUNTIF($C$32:$AA$32,$AN$36)*$AB$32+COUNTIF($C$33:$AA$33,$AN$36)*$AB$33</f>
        <v>14.75</v>
      </c>
      <c r="L23" s="295">
        <f ca="1">L22*1.25</f>
        <v>1.25</v>
      </c>
    </row>
    <row r="24" spans="1:12" ht="15.5" x14ac:dyDescent="0.35">
      <c r="A24" s="312" t="s">
        <v>240</v>
      </c>
      <c r="B24" s="323"/>
      <c r="C24" s="294"/>
      <c r="D24" s="294"/>
      <c r="E24" s="306">
        <f t="shared" ref="E24:L24" ca="1" si="7">E22/E18</f>
        <v>5.75</v>
      </c>
      <c r="F24" s="306">
        <f t="shared" ca="1" si="7"/>
        <v>9.0476190476190474</v>
      </c>
      <c r="G24" s="306">
        <f t="shared" ca="1" si="7"/>
        <v>7</v>
      </c>
      <c r="H24" s="306">
        <f t="shared" ca="1" si="7"/>
        <v>3.25</v>
      </c>
      <c r="I24" s="306">
        <f t="shared" ca="1" si="7"/>
        <v>7.25</v>
      </c>
      <c r="J24" s="306">
        <f t="shared" ca="1" si="7"/>
        <v>2</v>
      </c>
      <c r="K24" s="306">
        <f t="shared" ca="1" si="7"/>
        <v>7.5</v>
      </c>
      <c r="L24" s="306">
        <f t="shared" ca="1" si="7"/>
        <v>1</v>
      </c>
    </row>
    <row r="25" spans="1:12" ht="15.5" x14ac:dyDescent="0.35">
      <c r="A25" s="312" t="s">
        <v>250</v>
      </c>
      <c r="B25" s="324">
        <f ca="1">(B23-D23)/B19</f>
        <v>6.0568181818181817</v>
      </c>
      <c r="C25" s="316">
        <f ca="1">C23/C19</f>
        <v>3</v>
      </c>
      <c r="D25" s="295"/>
      <c r="E25" s="295">
        <f ca="1">(E23-4)/E19</f>
        <v>5.875</v>
      </c>
      <c r="F25" s="295">
        <f ca="1">(F23-2.75)/F18</f>
        <v>8.4523809523809526</v>
      </c>
      <c r="G25" s="295">
        <f ca="1">(G23-4)/G19</f>
        <v>6.833333333333333</v>
      </c>
      <c r="H25" s="295">
        <f ca="1">(H23-7.125)/H19</f>
        <v>3.03125</v>
      </c>
      <c r="I25" s="295">
        <f ca="1">(I23-3.25)/I19</f>
        <v>6</v>
      </c>
      <c r="J25" s="295">
        <f ca="1">J23/J19</f>
        <v>2.5</v>
      </c>
      <c r="K25" s="295">
        <f ca="1">(K23-1.25)/K19</f>
        <v>6.75</v>
      </c>
      <c r="L25" s="295">
        <f ca="1">L23/L19</f>
        <v>1.25</v>
      </c>
    </row>
    <row r="26" spans="1:12" ht="15.5" x14ac:dyDescent="0.35">
      <c r="A26" s="310" t="s">
        <v>62</v>
      </c>
      <c r="B26" s="321">
        <f>E26+F26+G26+H26+I26+K26</f>
        <v>400</v>
      </c>
      <c r="C26" s="298"/>
      <c r="D26" s="298"/>
      <c r="E26" s="299">
        <f>25*2*2</f>
        <v>100</v>
      </c>
      <c r="F26" s="299">
        <f>25*2*2</f>
        <v>100</v>
      </c>
      <c r="G26" s="300">
        <f>25*2</f>
        <v>50</v>
      </c>
      <c r="H26" s="300">
        <f t="shared" ref="H26:K26" si="8">25*2</f>
        <v>50</v>
      </c>
      <c r="I26" s="300">
        <f t="shared" si="8"/>
        <v>50</v>
      </c>
      <c r="J26" s="300"/>
      <c r="K26" s="300">
        <f t="shared" si="8"/>
        <v>50</v>
      </c>
      <c r="L26" s="300"/>
    </row>
    <row r="27" spans="1:12" ht="15.5" x14ac:dyDescent="0.35">
      <c r="A27" s="313" t="s">
        <v>90</v>
      </c>
      <c r="B27" s="325">
        <f>(B26-9)/B18</f>
        <v>10.025641025641026</v>
      </c>
      <c r="C27" s="317">
        <f>C26/C18</f>
        <v>0</v>
      </c>
      <c r="D27" s="307"/>
      <c r="E27" s="307">
        <f t="shared" ref="E27:L27" si="9">E26/E18</f>
        <v>12.5</v>
      </c>
      <c r="F27" s="307">
        <f t="shared" si="9"/>
        <v>15.873015873015873</v>
      </c>
      <c r="G27" s="307">
        <f t="shared" si="9"/>
        <v>8.3333333333333339</v>
      </c>
      <c r="H27" s="307">
        <f t="shared" si="9"/>
        <v>12.5</v>
      </c>
      <c r="I27" s="307">
        <f t="shared" si="9"/>
        <v>12.5</v>
      </c>
      <c r="J27" s="307">
        <f t="shared" si="9"/>
        <v>0</v>
      </c>
      <c r="K27" s="307">
        <f t="shared" si="9"/>
        <v>25</v>
      </c>
      <c r="L27" s="307">
        <f t="shared" si="9"/>
        <v>0</v>
      </c>
    </row>
    <row r="28" spans="1:12" ht="15.5" x14ac:dyDescent="0.35">
      <c r="A28" s="314" t="s">
        <v>43</v>
      </c>
      <c r="B28" s="326">
        <f ca="1">B20-B23-B26</f>
        <v>177.5</v>
      </c>
      <c r="C28" s="318"/>
      <c r="D28" s="305"/>
      <c r="E28" s="305">
        <f t="shared" ref="E28:L28" ca="1" si="10">E20-E23-E26</f>
        <v>49</v>
      </c>
      <c r="F28" s="305">
        <f t="shared" ca="1" si="10"/>
        <v>1.5</v>
      </c>
      <c r="G28" s="305">
        <f t="shared" ca="1" si="10"/>
        <v>55</v>
      </c>
      <c r="H28" s="305">
        <f t="shared" ca="1" si="10"/>
        <v>30.75</v>
      </c>
      <c r="I28" s="305">
        <f t="shared" ca="1" si="10"/>
        <v>22.75</v>
      </c>
      <c r="J28" s="305">
        <f t="shared" ca="1" si="10"/>
        <v>45</v>
      </c>
      <c r="K28" s="305">
        <f t="shared" ca="1" si="10"/>
        <v>-14.75</v>
      </c>
      <c r="L28" s="305">
        <f t="shared" ca="1" si="10"/>
        <v>23.75</v>
      </c>
    </row>
    <row r="29" spans="1:12" ht="15.5" x14ac:dyDescent="0.35">
      <c r="A29" s="314" t="s">
        <v>67</v>
      </c>
      <c r="B29" s="328">
        <f ca="1">B28/33</f>
        <v>5.3787878787878789</v>
      </c>
      <c r="C29" s="301"/>
      <c r="D29" s="301"/>
      <c r="E29" s="329">
        <f t="shared" ref="E29:L29" ca="1" si="11">E28/E18</f>
        <v>6.125</v>
      </c>
      <c r="F29" s="329">
        <f t="shared" ca="1" si="11"/>
        <v>0.23809523809523811</v>
      </c>
      <c r="G29" s="329">
        <f t="shared" ca="1" si="11"/>
        <v>9.1666666666666661</v>
      </c>
      <c r="H29" s="329">
        <f t="shared" ca="1" si="11"/>
        <v>7.6875</v>
      </c>
      <c r="I29" s="329">
        <f t="shared" ca="1" si="11"/>
        <v>5.6875</v>
      </c>
      <c r="J29" s="329">
        <f t="shared" ca="1" si="11"/>
        <v>22.5</v>
      </c>
      <c r="K29" s="329">
        <f t="shared" ca="1" si="11"/>
        <v>-7.375</v>
      </c>
      <c r="L29" s="329">
        <f t="shared" ca="1" si="11"/>
        <v>23.75</v>
      </c>
    </row>
    <row r="30" spans="1:12" ht="16" thickBot="1" x14ac:dyDescent="0.4">
      <c r="A30" s="314" t="s">
        <v>252</v>
      </c>
      <c r="B30" s="327">
        <f ca="1">B29/2</f>
        <v>2.6893939393939394</v>
      </c>
      <c r="C30" s="301"/>
      <c r="D30" s="301"/>
      <c r="E30" s="302">
        <f ca="1">E29/2</f>
        <v>3.0625</v>
      </c>
      <c r="F30" s="302">
        <f ca="1">F29/2</f>
        <v>0.11904761904761905</v>
      </c>
      <c r="G30" s="302">
        <f ca="1">G29/2</f>
        <v>4.583333333333333</v>
      </c>
      <c r="H30" s="302">
        <f ca="1">H29/2</f>
        <v>3.84375</v>
      </c>
      <c r="I30" s="302">
        <f ca="1">I29/2</f>
        <v>2.84375</v>
      </c>
      <c r="J30" s="303"/>
      <c r="K30" s="303">
        <f ca="1">K29/2</f>
        <v>-3.6875</v>
      </c>
      <c r="L30" s="302"/>
    </row>
    <row r="31" spans="1:12" ht="15" thickBot="1" x14ac:dyDescent="0.4"/>
    <row r="32" spans="1:12" ht="16" thickBot="1" x14ac:dyDescent="0.4">
      <c r="A32" s="330" t="s">
        <v>257</v>
      </c>
    </row>
    <row r="33" spans="1:12" ht="15.5" x14ac:dyDescent="0.35">
      <c r="A33" s="308"/>
      <c r="B33" s="319" t="s">
        <v>253</v>
      </c>
      <c r="C33" s="134" t="s">
        <v>251</v>
      </c>
      <c r="D33" s="134" t="s">
        <v>102</v>
      </c>
      <c r="E33" s="106" t="s">
        <v>48</v>
      </c>
      <c r="F33" s="107" t="s">
        <v>50</v>
      </c>
      <c r="G33" s="108" t="s">
        <v>49</v>
      </c>
      <c r="H33" s="170" t="s">
        <v>33</v>
      </c>
      <c r="I33" s="104" t="s">
        <v>53</v>
      </c>
      <c r="J33" s="186" t="s">
        <v>216</v>
      </c>
      <c r="K33" s="188" t="s">
        <v>51</v>
      </c>
      <c r="L33" s="190" t="s">
        <v>31</v>
      </c>
    </row>
    <row r="34" spans="1:12" ht="15.5" x14ac:dyDescent="0.35">
      <c r="A34" s="309" t="s">
        <v>100</v>
      </c>
      <c r="B34" s="320">
        <v>39</v>
      </c>
      <c r="C34" s="127">
        <v>1</v>
      </c>
      <c r="D34" s="127">
        <v>5</v>
      </c>
      <c r="E34" s="110">
        <v>8</v>
      </c>
      <c r="F34" s="111">
        <v>6.3</v>
      </c>
      <c r="G34" s="112">
        <v>6</v>
      </c>
      <c r="H34" s="113">
        <v>4</v>
      </c>
      <c r="I34" s="114">
        <v>4</v>
      </c>
      <c r="J34" s="187">
        <v>2</v>
      </c>
      <c r="K34" s="189">
        <v>2</v>
      </c>
      <c r="L34" s="191">
        <v>1</v>
      </c>
    </row>
    <row r="35" spans="1:12" ht="15.5" x14ac:dyDescent="0.35">
      <c r="A35" s="310" t="s">
        <v>101</v>
      </c>
      <c r="B35" s="321">
        <v>33</v>
      </c>
      <c r="C35" s="289">
        <v>1</v>
      </c>
      <c r="D35" s="289"/>
      <c r="E35" s="290">
        <v>8</v>
      </c>
      <c r="F35" s="290">
        <v>6</v>
      </c>
      <c r="G35" s="290">
        <v>6</v>
      </c>
      <c r="H35" s="290">
        <v>4</v>
      </c>
      <c r="I35" s="290">
        <v>4</v>
      </c>
      <c r="J35" s="291">
        <v>2</v>
      </c>
      <c r="K35" s="291">
        <v>2</v>
      </c>
      <c r="L35" s="290">
        <v>1</v>
      </c>
    </row>
    <row r="36" spans="1:12" ht="15.5" x14ac:dyDescent="0.35">
      <c r="A36" s="310" t="s">
        <v>254</v>
      </c>
      <c r="B36" s="321">
        <f>(B34-7)*25</f>
        <v>800</v>
      </c>
      <c r="C36" s="304">
        <f t="shared" ref="C36:K36" si="12">C34*25</f>
        <v>25</v>
      </c>
      <c r="D36" s="304">
        <f t="shared" si="12"/>
        <v>125</v>
      </c>
      <c r="E36" s="304">
        <f t="shared" si="12"/>
        <v>200</v>
      </c>
      <c r="F36" s="304">
        <f t="shared" si="12"/>
        <v>157.5</v>
      </c>
      <c r="G36" s="304">
        <f t="shared" si="12"/>
        <v>150</v>
      </c>
      <c r="H36" s="304">
        <f t="shared" si="12"/>
        <v>100</v>
      </c>
      <c r="I36" s="304">
        <f t="shared" si="12"/>
        <v>100</v>
      </c>
      <c r="J36" s="304">
        <f t="shared" si="12"/>
        <v>50</v>
      </c>
      <c r="K36" s="304">
        <f t="shared" si="12"/>
        <v>50</v>
      </c>
      <c r="L36" s="304">
        <f>L34*25</f>
        <v>25</v>
      </c>
    </row>
    <row r="37" spans="1:12" ht="15.5" x14ac:dyDescent="0.35">
      <c r="A37" s="311"/>
      <c r="B37" s="322"/>
      <c r="C37" s="130"/>
      <c r="D37" s="130"/>
      <c r="E37" s="120"/>
      <c r="F37" s="120"/>
      <c r="G37" s="120"/>
      <c r="H37" s="120"/>
      <c r="I37" s="120"/>
      <c r="J37" s="185"/>
      <c r="K37" s="185"/>
      <c r="L37" s="120"/>
    </row>
    <row r="38" spans="1:12" ht="15.5" x14ac:dyDescent="0.35">
      <c r="A38" s="312" t="s">
        <v>61</v>
      </c>
      <c r="B38" s="323">
        <v>156</v>
      </c>
      <c r="C38" s="315">
        <f ca="1">(COUNTIF($C$4:$AA$33,$AF$36))</f>
        <v>5</v>
      </c>
      <c r="D38" s="306"/>
      <c r="E38" s="306">
        <f ca="1">(COUNTIF($C$4:$AA$33,$AH$36))</f>
        <v>52</v>
      </c>
      <c r="F38" s="306">
        <f ca="1">(COUNTIF($C$4:$AA$33,$AI$36))</f>
        <v>46</v>
      </c>
      <c r="G38" s="306">
        <f ca="1">(COUNTIF($C$4:$AA$33,$AJ$36))</f>
        <v>41</v>
      </c>
      <c r="H38" s="306">
        <f ca="1">(COUNTIF($C$4:$AA$33,"S"))</f>
        <v>18</v>
      </c>
      <c r="I38" s="306">
        <f ca="1">(COUNTIF($C$4:$AA$33,"P"))</f>
        <v>30</v>
      </c>
      <c r="J38" s="306">
        <f ca="1">(COUNTIF($C$4:$AA$33,"N"))</f>
        <v>4</v>
      </c>
      <c r="K38" s="306">
        <f ca="1">(COUNTIF($C$4:$AA$33,"C"))</f>
        <v>15</v>
      </c>
      <c r="L38" s="306">
        <f ca="1">(COUNTIF($C$4:$AA$33,"SG"))</f>
        <v>1</v>
      </c>
    </row>
    <row r="39" spans="1:12" ht="15.5" x14ac:dyDescent="0.35">
      <c r="A39" s="312" t="s">
        <v>249</v>
      </c>
      <c r="B39" s="324">
        <f ca="1">E39+F39+G39+H39+I39+K39+C39+J39+L39</f>
        <v>222.5</v>
      </c>
      <c r="C39" s="316">
        <f ca="1">COUNTIF($C$4:$AA$4,$AF$36)*$AB$4+COUNTIF($C$5:$AA$5,$AF$36)*$AB$5+COUNTIF($C$6:$AA$6,$AF$36)*$AB$6+COUNTIF($C$7:$AA$7,$AF$36)*$AB$7+COUNTIF($C$8:$AA$8,$AF$36)*$AB$8+COUNTIF($C$9:$AA$9,$AF$36)*$AB$9+COUNTIF($C$10:$AA$10,$AF$36)*$AB$10+COUNTIF($C$11:$AA$11,$AF$36)*$AB$11+COUNTIF($C$12:$AA$12,$AF$36)*$AB$12+COUNTIF($C$13:$AA$13,$AF$36)*$AB$13+COUNTIF($C$14:$AA$14,$AF$36)*$AB$14+COUNTIF($C$15:$AA$15,$AF$36)*$AB$15+COUNTIF($C$16:$AA$16,$AF$36)*$AB$16+COUNTIF($C$17:$AA$17,$AF$36)*$AB$17+COUNTIF($C$18:$AA$18,$AF$36)*$AB$18+COUNTIF($C$19:$AA$19,$AF$36)*$AB$19+COUNTIF($C$20:$AA$20,$AF$36)*$AB$20+COUNTIF($C$21:$AA$21,$AF$36)*$AB$21+COUNTIF($C$22:$AA$22,$AF$36)*$AB$22+COUNTIF($C$23:$AA$23,$AF$36)*$AB$23+COUNTIF($C$24:$AA$24,$AF$36)*$AB$24+COUNTIF($C$25:$AA$25,$AF$36)*$AB$25+COUNTIF($C$26:$AA$26,$AF$36)*$AB$26+COUNTIF($C$27:$AA$27,$AF$36)*$AB$27+COUNTIF($C$28:$AA$28,$AF$36)*$AB$28+COUNTIF($C$29:$AA$29,$AF$36)*$AB$29+COUNTIF($C$30:$AA$30,$AF$36)*$AB$30+COUNTIF($C$31:$AA$31,$AF$36)*$AB$31+COUNTIF($C$32:$AA$32,$AF$36)*$AB$32+COUNTIF($C$33:$AA$33,$AF$36)*$AB$33</f>
        <v>3</v>
      </c>
      <c r="D39" s="295">
        <f>4+4+4.25+7.125+3.25</f>
        <v>22.625</v>
      </c>
      <c r="E39" s="295">
        <f ca="1">COUNTIF($C$4:$AA$4,$AH$36)*$AB$4+COUNTIF($C$5:$AA$5,$AH$36)*$AB$5+COUNTIF($C$6:$AA$6,$AH$36)*$AB$6+COUNTIF($C$7:$AA$7,$AH$36)*$AB$7+COUNTIF($C$8:$AA$8,$AH$36)*$AB$8+COUNTIF($C$9:$AA$9,$AH$36)*$AB$9+COUNTIF($C$10:$AA$10,$AH$36)*$AB$10+COUNTIF($C$11:$AA$11,$AH$36)*$AB$11+COUNTIF($C$12:$AA$12,$AH$36)*$AB$12+COUNTIF($C$13:$AA$13,$AH$36)*$AB$13+COUNTIF($C$14:$AA$14,$AH$36)*$AB$14+COUNTIF($C$15:$AA$15,$AH$36)*$AB$15+COUNTIF($C$16:$AA$16,$AH$36)*$AB$16+COUNTIF($C$17:$AA$17,$AH$36)*$AB$17+COUNTIF($C$18:$AA$18,$AH$36)*$AB$18+COUNTIF($C$19:$AA$19,$AH$36)*$AB$19+COUNTIF($C$20:$AA$20,$AH$36)*$AB$20+COUNTIF($C$21:$AA$21,$AH$36)*$AB$21+COUNTIF($C$22:$AA$22,$AH$36)*$AB$22+COUNTIF($C$23:$AA$23,$AH$36)*$AB$23+COUNTIF($C$24:$AA$24,$AH$36)*$AB$24+COUNTIF($C$25:$AA$25,$AH$36)*$AB$25+COUNTIF($C$26:$AA$26,$AH$36)*$AB$26+COUNTIF($C$27:$AA$27,$AH$36)*$AB$27+COUNTIF($C$28:$AA$28,$AH$36)*$AB$28+COUNTIF($C$29:$AA$29,$AH$36)*$AB$29+COUNTIF($C$30:$AA$30,$AH$36)*$AB$30+COUNTIF($C$31:$AA$31,$AH$36)*$AB$31+COUNTIF($C$32:$AA$32,$AH$36)*$AB$32+COUNTIF($C$33:$AA$33,$AH$36)*$AB$33</f>
        <v>57.25</v>
      </c>
      <c r="F39" s="295">
        <f ca="1">COUNTIF($C$4:$AA$4,$AI$36)*$AB$4+COUNTIF($C$5:$AA$5,$AI$36)*$AB$5+COUNTIF($C$6:$AA$6,$AI$36)*$AB$6+COUNTIF($C$7:$AA$7,$AI$36)*$AB$7+COUNTIF($H$8:$AA$8,$AI$36)*$AB$8+COUNTIF($C$9:$AA$9,$AI$36)*$AB$9+COUNTIF($C$10:$AA$10,$AI$36)*0.5*$AB$10+COUNTIF($C$11:$AA$11,$AI$36)*$AB$11+COUNTIF($C$12:$AA$12,$AI$36)*$AB$12+COUNTIF($D$13:$AA$13,$AI$36)*$AB$13+COUNTIF($C$14:$AA$14,$AI$36)*$AB$14+COUNTIF($C$15:$AA$15,$AI$36)*$AB$15+COUNTIF($C$16:$AA$16,$AI$36)*$AB$16+COUNTIF($C$17:$AA$17,$AI$36)*$AB$17+COUNTIF($D$18:$AA$18,$AI$36)*$AB$18+COUNTIF($C$19:$AA$19,$AI$36)*$AB$19+COUNTIF($C$20:$AA$20,$AI$36)*$AB$20+COUNTIF($C$21:$AA$21,$AI$36)*$AB$21+COUNTIF($C$22:$AA$22,$AI$36)*$AB$22+COUNTIF($C$23:$AA$23,$AI$36)*$AB$23+COUNTIF($C$24:$AA$24,$AI$36)*$AB$24+COUNTIF($C$25:$AA$25,$AI$36)*$AB$25+COUNTIF($C$26:$AA$26,$AI$36)*$AB$26+COUNTIF($C$27:$AA$27,$AI$36)*$AB$27+COUNTIF($C$28:$AA$28,$AI$36)*$AB$28+COUNTIF($C$29:$AA$29,$AI$36)*$AB$29+COUNTIF($C$30:$AA$30,$AI$36)*$AB$30+COUNTIF($C$31:$AA$31,$AI$36)*$AB$31+COUNTIF($C$32:$AA$32,$AI$36)*$AB$32+COUNTIF($C$33:$AA$33,$AI$36)*$AB$33</f>
        <v>45</v>
      </c>
      <c r="G39" s="295">
        <f ca="1">COUNTIF($C$4:$AA$4,$AJ$36)*$AB$4+COUNTIF($C$5:$AA$5,$AJ$36)*$AB$5+COUNTIF($C$6:$AA$6,$AJ$36)*$AB$6+COUNTIF($C$7:$AA$7,$AJ$36)*$AB$7+COUNTIF($H$8:$AA$8,$AJ$36)*$AB$8+COUNTIF($C$9:$AA$9,$AJ$36)*$AB$9+COUNTIF($C$10:$AA$10,$AJ$36)*$AB$10+COUNTIF($C$11:$AA$11,$AJ$36)*$AB$11+COUNTIF($C$12:$AA$12,$AJ$36)*$AB$12+COUNTIF($D$13:$AA$13,$AJ$36)*$AB$13+COUNTIF($C$14:$AA$14,$AJ$36)*$AB$14+COUNTIF($C$15:$AA$15,$AJ$36)*$AB$15+COUNTIF($C$16:$AA$16,$AJ$36)*$AB$16+COUNTIF($C$17:$AA$17,$AJ$36)*$AB$17+COUNTIF($D$18:$AA$18,$AJ$36)*$AB$18+COUNTIF($C$19:$AA$19,$AJ$36)*$AB$19+COUNTIF($C$20:$AA$20,$AJ$36)*$AB$20+COUNTIF($C$21:$AA$21,$AJ$36)*$AB$21+COUNTIF($C$22:$AA$22,$AJ$36)*$AB$22+COUNTIF($C$23:$AA$23,$AJ$36)*$AB$23+COUNTIF($C$24:$AA$24,$AJ$36)*$AB$24+COUNTIF($C$25:$AA$25,$AJ$36)*$AB$25+COUNTIF($C$26:$AA$26,$AJ$36)*$AB$26+COUNTIF($C$27:$AA$27,$AJ$36)*$AB$27+COUNTIF($C$28:$AA$28,$AJ$36)*$AB$28+COUNTIF($C$29:$AA$29,$AJ$36)*$AB$29+COUNTIF($C$30:$AA$30,$AJ$36)*$AB$30+COUNTIF($C$31:$AA$31,$AJ$36)*$AB$31+COUNTIF($C$32:$AA$32,$AJ$36)*$AB$32+COUNTIF($C$33:$AA$33,$AJ$36)*$AB$33</f>
        <v>44</v>
      </c>
      <c r="H39" s="295">
        <f ca="1">COUNTIF($C$4:$AA$4,$AK$36)*$AB$4+COUNTIF($C$5:$AA$5,$AK$36)*$AB$5+COUNTIF($C$6:$AA$6,$AK$36)*$AB$6+COUNTIF($C$7:$AA$7,$AK$36)*$AB$7+COUNTIF($H$8:$AA$8,$AK$36)*$AB$8+COUNTIF($C$9:$AA$9,$AK$36)*$AB$9+COUNTIF($C$10:$AA$10,$AK$36)*$AB$10+COUNTIF($C$11:$AA$11,$AK$36)*$AB$11+COUNTIF($C$12:$AA$12,$AK$36)*$AB$12+COUNTIF($D$13:$AA$13,$AK$36)*$AB$13+COUNTIF($C$14:$AA$14,$AK$36)*$AB$14+COUNTIF($C$15:$AA$15,$AK$36)*$AB$15+COUNTIF($C$16:$AA$16,$AK$36)*$AB$16+COUNTIF($C$17:$AA$17,$AK$36)*$AB$17+COUNTIF($D$18:$AA$18,$AK$36)*$AB$18+COUNTIF($C$19:$AA$19,$AK$36)*$AB$19+COUNTIF($C$20:$AA$20,$AK$36)*$AB$20+COUNTIF($C$21:$AA$21,$AK$36)*$AB$21+COUNTIF($C$22:$AA$22,$AK$36)*$AB$22+COUNTIF($C$23:$AA$23,$AK$36)*$AB$23+COUNTIF($C$24:$AA$24,$AK$36)*$AB$24+COUNTIF($C$25:$AA$25,$AK$36)*$AB$25+COUNTIF($C$26:$AA$26,$AK$36)*$AB$26+COUNTIF($C$27:$AA$27,$AK$36)*$AB$27+COUNTIF($C$28:$AA$28,$AK$36)*$AB$28+COUNTIF($C$29:$AA$29,$AK$36)*$AB$29+COUNTIF($C$30:$AA$30,$AK$36)*$AB$30+COUNTIF($C$31:$AA$31,$AK$36)*$AB$31+COUNTIF($C$32:$AA$32,$AK$36)*$AB$32+COUNTIF($C$33:$AA$33,$AK$36)*$AB$33</f>
        <v>24.5</v>
      </c>
      <c r="I39" s="295">
        <f ca="1">COUNTIF($C$4:$AA$4,$AL$36)*$AB$4+COUNTIF($C$5:$AA$5,$AL$36)*$AB$5+COUNTIF($C$6:$AA$6,$AL$36)*$AB$6+COUNTIF($C$7:$AA$7,$AL$36)*$AB$7+COUNTIF($H$8:$AA$8,$AL$36)*$AB$8+COUNTIF($C$9:$AA$9,$AL$36)*$AB$9+COUNTIF($C$10:$AA$10,$AL$36)*$AB$10+COUNTIF($C$11:$AA$11,$AL$36)*$AB$11+COUNTIF($C$12:$AA$12,$AL$36)*$AB$12+COUNTIF($D$13:$AA$13,$AL$36)*$AB$13+COUNTIF($C$14:$AA$14,$AL$36)*$AB$14+COUNTIF($C$15:$AA$15,$AL$36)*$AB$15+COUNTIF($C$16:$AA$16,$AL$36)*$AB$16+COUNTIF($C$17:$AA$17,$AL$36)*$AB$17+COUNTIF($D$18:$AA$18,$AL$36)*$AB$18+COUNTIF($C$19:$AA$19,$AL$36)*$AB$19+COUNTIF($C$20:$AA$20,$AL$36)*$AB$20+COUNTIF($C$21:$AA$21,$AL$36)*$AB$21+COUNTIF($C$22:$AA$22,$AL$36)*$AB$22+COUNTIF($C$23:$AA$23,$AL$36)*$AB$23+COUNTIF($C$24:$AA$24,$AL$36)*$AB$24+COUNTIF($C$25:$AA$25,$AL$36)*$AB$25+COUNTIF($C$26:$AA$26,$AL$36)*$AB$26+COUNTIF($C$27:$AA$27,$AL$36)*$AB$27+COUNTIF($C$28:$AA$28,$AL$36)*$AB$28+COUNTIF($C$29:$AA$29,$AL$36)*$AB$29+COUNTIF($C$30:$AA$30,$AL$36)*$AB$30+COUNTIF($C$31:$AA$31,$AL$36)*$AB$31+COUNTIF($C$32:$AA$32,$AL$36)*$AB$32+COUNTIF($C$33:$AA$33,$AL$36)*$AB$33</f>
        <v>28.25</v>
      </c>
      <c r="J39" s="295">
        <f ca="1">COUNTIF($C$4:$AA$4,$AM$36)*$AB$4+COUNTIF($C$5:$AA$5,$AM$36)*$AB$5+COUNTIF($C$6:$AA$6,$AM$36)*$AB$6+COUNTIF($C$7:$AA$7,$AM$36)*$AB$7+COUNTIF($H$8:$AA$8,$AM$36)*$AB$8+COUNTIF($C$9:$AA$9,$AM$36)*$AB$9+COUNTIF($C$10:$AA$10,$AM$36)*$AB$10+COUNTIF($C$11:$AA$11,$AM$36)*$AB$11+COUNTIF($C$12:$AA$12,$AM$36)*$AB$12+COUNTIF($D$13:$AA$13,$AM$36)*$AB$13+COUNTIF($C$14:$AA$14,$AM$36)*$AB$14+COUNTIF($C$15:$AA$15,$AM$36)*$AB$15+COUNTIF($C$16:$AA$16,$AM$36)*$AB$16+COUNTIF($C$17:$AA$17,$AM$36)*$AB$17+COUNTIF($D$18:$AA$18,$AM$36)*$AB$18+COUNTIF($C$19:$AA$19,$AM$36)*$AB$19+COUNTIF($C$20:$AA$20,$AM$36)*$AB$20+COUNTIF($C$21:$AA$21,$AM$36)*$AB$21+COUNTIF($C$22:$AA$22,$AM$36)*$AB$22+COUNTIF($C$23:$AA$23,$AM$36)*$AB$23+COUNTIF($C$24:$AA$24,$AM$36)*$AB$24+COUNTIF($C$25:$AA$25,$AM$36)*$AB$25+COUNTIF($C$26:$AA$26,$AM$36)*$AB$26+COUNTIF($C$27:$AA$27,$AM$36)*$AB$27+COUNTIF($C$28:$AA$28,$AM$36)*$AB$28+COUNTIF($C$29:$AA$29,$AM$36)*$AB$29+COUNTIF($C$30:$AA$30,$AM$36)*$AB$30+COUNTIF($C$31:$AA$31,$AM$36)*$AB$31+COUNTIF($C$32:$AA$32,$AM$36)*$AB$32+COUNTIF($C$33:$AA$33,$AM$36)*$AB$33</f>
        <v>5</v>
      </c>
      <c r="K39" s="295">
        <f ca="1">COUNTIF($C$4:$AA$4,$AN$36)*$AB$4+COUNTIF($C$5:$AA$5,$AN$36)*$AB$5+COUNTIF($C$6:$AA$6,$AN$36)*$AB$6+COUNTIF($C$7:$AA$7,$AN$36)*$AB$7+COUNTIF($H$8:$AA$8,$AN$36)*$AB$8+COUNTIF($C$9:$AA$9,$AN$36)*$AB$9+COUNTIF($C$10:$AA$10,$AN$36)*$AB$10+COUNTIF($C$11:$AA$11,$AN$36)*$AB$11+COUNTIF($C$12:$AA$12,$AN$36)*$AB$12+COUNTIF($D$13:$AA$13,$AN$36)*$AB$13+COUNTIF($C$14:$AA$14,$AN$36)*$AB$14+COUNTIF($C$15:$AA$15,$AN$36)*$AB$15+COUNTIF($C$16:$AA$16,$AN$36)*$AB$16+COUNTIF($C$17:$AA$17,$AN$36)*$AB$17+COUNTIF($D$18:$AA$18,$AN$36)*$AB$18+COUNTIF($C$19:$AA$19,$AN$36)*$AB$19+COUNTIF($C$20:$AA$20,$AN$36)*$AB$20+COUNTIF($C$21:$AA$21,$AN$36)*$AB$21+COUNTIF($C$22:$AA$22,$AN$36)*$AB$22+COUNTIF($C$23:$AA$23,$AN$36)*$AB$23+COUNTIF($C$24:$AA$24,$AN$36)*$AB$24+COUNTIF($C$25:$AA$25,$AN$36)*$AB$25+COUNTIF($C$26:$AA$26,$AN$36)*$AB$26+COUNTIF($C$27:$AA$27,$AN$36)*$AB$27+COUNTIF($C$28:$AA$28,$AN$36)*$AB$28+COUNTIF($C$29:$AA$29,$AN$36)*$AB$29+COUNTIF($C$30:$AA$30,$AN$36)*$AB$30+COUNTIF($C$31:$AA$31,$AN$36)*$AB$31+COUNTIF($C$32:$AA$32,$AN$36)*$AB$32+COUNTIF($C$33:$AA$33,$AN$36)*$AB$33</f>
        <v>14.25</v>
      </c>
      <c r="L39" s="295">
        <f ca="1">L38*1.25</f>
        <v>1.25</v>
      </c>
    </row>
    <row r="40" spans="1:12" ht="15.5" x14ac:dyDescent="0.35">
      <c r="A40" s="312" t="s">
        <v>240</v>
      </c>
      <c r="B40" s="323"/>
      <c r="C40" s="294"/>
      <c r="D40" s="294"/>
      <c r="E40" s="306">
        <f t="shared" ref="E40:L40" ca="1" si="13">E38/E34</f>
        <v>6.5</v>
      </c>
      <c r="F40" s="306">
        <f t="shared" ca="1" si="13"/>
        <v>7.3015873015873014</v>
      </c>
      <c r="G40" s="306">
        <f t="shared" ca="1" si="13"/>
        <v>6.833333333333333</v>
      </c>
      <c r="H40" s="306">
        <f t="shared" ca="1" si="13"/>
        <v>4.5</v>
      </c>
      <c r="I40" s="306">
        <f t="shared" ca="1" si="13"/>
        <v>7.5</v>
      </c>
      <c r="J40" s="306">
        <f t="shared" ca="1" si="13"/>
        <v>2</v>
      </c>
      <c r="K40" s="306">
        <f t="shared" ca="1" si="13"/>
        <v>7.5</v>
      </c>
      <c r="L40" s="306">
        <f t="shared" ca="1" si="13"/>
        <v>1</v>
      </c>
    </row>
    <row r="41" spans="1:12" ht="15.5" x14ac:dyDescent="0.35">
      <c r="A41" s="312" t="s">
        <v>250</v>
      </c>
      <c r="B41" s="324">
        <f ca="1">(B39-D39)/B35</f>
        <v>6.0568181818181817</v>
      </c>
      <c r="C41" s="316">
        <f ca="1">C39/C35</f>
        <v>3</v>
      </c>
      <c r="D41" s="295"/>
      <c r="E41" s="295">
        <f ca="1">(E39-4)/E35</f>
        <v>6.65625</v>
      </c>
      <c r="F41" s="295">
        <f ca="1">(F39-2.75)/F34</f>
        <v>6.7063492063492065</v>
      </c>
      <c r="G41" s="295">
        <f ca="1">(G39-4)/G35</f>
        <v>6.666666666666667</v>
      </c>
      <c r="H41" s="295">
        <f ca="1">(H39-7.125)/H35</f>
        <v>4.34375</v>
      </c>
      <c r="I41" s="295">
        <f ca="1">(I39-3.25)/I35</f>
        <v>6.25</v>
      </c>
      <c r="J41" s="295">
        <f ca="1">J39/J35</f>
        <v>2.5</v>
      </c>
      <c r="K41" s="295">
        <f ca="1">(K39-1.25)/K35</f>
        <v>6.5</v>
      </c>
      <c r="L41" s="295">
        <f ca="1">L39/L35</f>
        <v>1.25</v>
      </c>
    </row>
    <row r="42" spans="1:12" ht="15.5" x14ac:dyDescent="0.35">
      <c r="A42" s="310" t="s">
        <v>62</v>
      </c>
      <c r="B42" s="321">
        <f>E42+F42+G42+H42+I42+K42</f>
        <v>400</v>
      </c>
      <c r="C42" s="298"/>
      <c r="D42" s="298"/>
      <c r="E42" s="299">
        <f>25*2*2</f>
        <v>100</v>
      </c>
      <c r="F42" s="299">
        <f>25*2*2</f>
        <v>100</v>
      </c>
      <c r="G42" s="300">
        <f>25*2</f>
        <v>50</v>
      </c>
      <c r="H42" s="300">
        <f t="shared" ref="H42:K42" si="14">25*2</f>
        <v>50</v>
      </c>
      <c r="I42" s="300">
        <f t="shared" si="14"/>
        <v>50</v>
      </c>
      <c r="J42" s="300"/>
      <c r="K42" s="300">
        <f t="shared" si="14"/>
        <v>50</v>
      </c>
      <c r="L42" s="300"/>
    </row>
    <row r="43" spans="1:12" ht="15.5" x14ac:dyDescent="0.35">
      <c r="A43" s="313" t="s">
        <v>90</v>
      </c>
      <c r="B43" s="325">
        <f>(B42-9)/B34</f>
        <v>10.025641025641026</v>
      </c>
      <c r="C43" s="317">
        <f>C42/C34</f>
        <v>0</v>
      </c>
      <c r="D43" s="307"/>
      <c r="E43" s="307">
        <f t="shared" ref="E43:L43" si="15">E42/E34</f>
        <v>12.5</v>
      </c>
      <c r="F43" s="307">
        <f t="shared" si="15"/>
        <v>15.873015873015873</v>
      </c>
      <c r="G43" s="307">
        <f t="shared" si="15"/>
        <v>8.3333333333333339</v>
      </c>
      <c r="H43" s="307">
        <f t="shared" si="15"/>
        <v>12.5</v>
      </c>
      <c r="I43" s="307">
        <f t="shared" si="15"/>
        <v>12.5</v>
      </c>
      <c r="J43" s="307">
        <f t="shared" si="15"/>
        <v>0</v>
      </c>
      <c r="K43" s="307">
        <f t="shared" si="15"/>
        <v>25</v>
      </c>
      <c r="L43" s="307">
        <f t="shared" si="15"/>
        <v>0</v>
      </c>
    </row>
    <row r="44" spans="1:12" ht="15.5" x14ac:dyDescent="0.35">
      <c r="A44" s="314" t="s">
        <v>43</v>
      </c>
      <c r="B44" s="326">
        <f ca="1">B36-B39-B42</f>
        <v>177.5</v>
      </c>
      <c r="C44" s="318"/>
      <c r="D44" s="305"/>
      <c r="E44" s="305">
        <f t="shared" ref="E44:L44" ca="1" si="16">E36-E39-E42</f>
        <v>42.75</v>
      </c>
      <c r="F44" s="305">
        <f t="shared" ca="1" si="16"/>
        <v>12.5</v>
      </c>
      <c r="G44" s="305">
        <f t="shared" ca="1" si="16"/>
        <v>56</v>
      </c>
      <c r="H44" s="305">
        <f t="shared" ca="1" si="16"/>
        <v>25.5</v>
      </c>
      <c r="I44" s="305">
        <f t="shared" ca="1" si="16"/>
        <v>21.75</v>
      </c>
      <c r="J44" s="305">
        <f t="shared" ca="1" si="16"/>
        <v>45</v>
      </c>
      <c r="K44" s="305">
        <f t="shared" ca="1" si="16"/>
        <v>-14.25</v>
      </c>
      <c r="L44" s="305">
        <f t="shared" ca="1" si="16"/>
        <v>23.75</v>
      </c>
    </row>
    <row r="45" spans="1:12" ht="15.5" x14ac:dyDescent="0.35">
      <c r="A45" s="314" t="s">
        <v>67</v>
      </c>
      <c r="B45" s="328">
        <f ca="1">B44/33</f>
        <v>5.3787878787878789</v>
      </c>
      <c r="C45" s="301"/>
      <c r="D45" s="301"/>
      <c r="E45" s="329">
        <f t="shared" ref="E45:L45" ca="1" si="17">E44/E34</f>
        <v>5.34375</v>
      </c>
      <c r="F45" s="329">
        <f t="shared" ca="1" si="17"/>
        <v>1.9841269841269842</v>
      </c>
      <c r="G45" s="329">
        <f t="shared" ca="1" si="17"/>
        <v>9.3333333333333339</v>
      </c>
      <c r="H45" s="329">
        <f t="shared" ca="1" si="17"/>
        <v>6.375</v>
      </c>
      <c r="I45" s="329">
        <f t="shared" ca="1" si="17"/>
        <v>5.4375</v>
      </c>
      <c r="J45" s="329">
        <f t="shared" ca="1" si="17"/>
        <v>22.5</v>
      </c>
      <c r="K45" s="329">
        <f t="shared" ca="1" si="17"/>
        <v>-7.125</v>
      </c>
      <c r="L45" s="329">
        <f t="shared" ca="1" si="17"/>
        <v>23.75</v>
      </c>
    </row>
    <row r="46" spans="1:12" ht="16" thickBot="1" x14ac:dyDescent="0.4">
      <c r="A46" s="314" t="s">
        <v>252</v>
      </c>
      <c r="B46" s="327">
        <f ca="1">B45/2</f>
        <v>2.6893939393939394</v>
      </c>
      <c r="C46" s="301"/>
      <c r="D46" s="301"/>
      <c r="E46" s="302">
        <f ca="1">E45/2</f>
        <v>2.671875</v>
      </c>
      <c r="F46" s="302">
        <f ca="1">F45/2</f>
        <v>0.99206349206349209</v>
      </c>
      <c r="G46" s="302">
        <f ca="1">G45/2</f>
        <v>4.666666666666667</v>
      </c>
      <c r="H46" s="302">
        <f ca="1">H45/2</f>
        <v>3.1875</v>
      </c>
      <c r="I46" s="302">
        <f ca="1">I45/2</f>
        <v>2.71875</v>
      </c>
      <c r="J46" s="303"/>
      <c r="K46" s="303">
        <f ca="1">K45/2</f>
        <v>-3.5625</v>
      </c>
      <c r="L46" s="302"/>
    </row>
  </sheetData>
  <conditionalFormatting sqref="E10:L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L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L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"/>
  <sheetViews>
    <sheetView zoomScale="53" zoomScaleNormal="46" workbookViewId="0">
      <selection activeCell="T12" sqref="T12"/>
    </sheetView>
  </sheetViews>
  <sheetFormatPr baseColWidth="10" defaultRowHeight="14.5" x14ac:dyDescent="0.35"/>
  <cols>
    <col min="1" max="1" width="6.7265625" customWidth="1"/>
    <col min="2" max="2" width="8.7265625" customWidth="1"/>
    <col min="3" max="3" width="5.81640625" customWidth="1"/>
    <col min="4" max="4" width="5.453125" customWidth="1"/>
    <col min="5" max="5" width="5" customWidth="1"/>
    <col min="6" max="7" width="5.7265625" customWidth="1"/>
    <col min="8" max="9" width="5.26953125" customWidth="1"/>
    <col min="10" max="10" width="5.81640625" customWidth="1"/>
    <col min="11" max="11" width="6.26953125" customWidth="1"/>
    <col min="12" max="12" width="5.81640625" customWidth="1"/>
    <col min="13" max="13" width="6.26953125" customWidth="1"/>
    <col min="14" max="14" width="6.453125" customWidth="1"/>
    <col min="15" max="15" width="6" customWidth="1"/>
    <col min="16" max="17" width="5.7265625" customWidth="1"/>
    <col min="18" max="18" width="5.453125" customWidth="1"/>
    <col min="19" max="19" width="5.54296875" customWidth="1"/>
    <col min="20" max="20" width="5.1796875" customWidth="1"/>
    <col min="21" max="21" width="5.26953125" customWidth="1"/>
    <col min="22" max="22" width="4.81640625" customWidth="1"/>
    <col min="23" max="23" width="5.26953125" customWidth="1"/>
    <col min="24" max="24" width="5.54296875" customWidth="1"/>
    <col min="25" max="25" width="5.453125" customWidth="1"/>
    <col min="26" max="26" width="5.54296875" customWidth="1"/>
    <col min="27" max="27" width="6" customWidth="1"/>
    <col min="28" max="28" width="6" style="286" customWidth="1"/>
    <col min="29" max="29" width="6" customWidth="1"/>
    <col min="30" max="30" width="26.1796875" customWidth="1"/>
    <col min="31" max="31" width="32.1796875" customWidth="1"/>
  </cols>
  <sheetData>
    <row r="1" spans="1:44" ht="26.25" customHeight="1" thickBot="1" x14ac:dyDescent="0.4">
      <c r="B1" s="66" t="s">
        <v>215</v>
      </c>
      <c r="AG1" t="s">
        <v>251</v>
      </c>
      <c r="AH1" t="s">
        <v>102</v>
      </c>
      <c r="AI1" t="s">
        <v>99</v>
      </c>
      <c r="AJ1" t="s">
        <v>45</v>
      </c>
      <c r="AK1" s="427" t="s">
        <v>269</v>
      </c>
      <c r="AL1" t="s">
        <v>44</v>
      </c>
      <c r="AM1" t="s">
        <v>97</v>
      </c>
      <c r="AN1" t="s">
        <v>274</v>
      </c>
      <c r="AO1" t="s">
        <v>46</v>
      </c>
      <c r="AP1" t="s">
        <v>98</v>
      </c>
      <c r="AQ1" t="s">
        <v>47</v>
      </c>
      <c r="AR1" t="s">
        <v>31</v>
      </c>
    </row>
    <row r="2" spans="1:44" ht="15.5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E2" s="308"/>
      <c r="AF2" s="319" t="s">
        <v>253</v>
      </c>
      <c r="AG2" s="134" t="s">
        <v>251</v>
      </c>
      <c r="AH2" s="134" t="s">
        <v>102</v>
      </c>
      <c r="AI2" s="106" t="s">
        <v>48</v>
      </c>
      <c r="AJ2" s="107" t="s">
        <v>50</v>
      </c>
      <c r="AK2" s="495" t="s">
        <v>272</v>
      </c>
      <c r="AL2" s="108" t="s">
        <v>49</v>
      </c>
      <c r="AM2" s="170" t="s">
        <v>33</v>
      </c>
      <c r="AN2" s="170" t="s">
        <v>294</v>
      </c>
      <c r="AO2" s="104" t="s">
        <v>53</v>
      </c>
      <c r="AP2" s="186" t="s">
        <v>216</v>
      </c>
      <c r="AQ2" s="188" t="s">
        <v>51</v>
      </c>
      <c r="AR2" s="190" t="s">
        <v>31</v>
      </c>
    </row>
    <row r="3" spans="1:44" ht="16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B3" s="287"/>
      <c r="AE3" s="309" t="s">
        <v>100</v>
      </c>
      <c r="AF3" s="320">
        <v>39</v>
      </c>
      <c r="AG3" s="127">
        <v>1</v>
      </c>
      <c r="AH3" s="127">
        <v>5</v>
      </c>
      <c r="AI3" s="110">
        <v>8</v>
      </c>
      <c r="AJ3" s="111">
        <v>7</v>
      </c>
      <c r="AK3" s="447">
        <v>1</v>
      </c>
      <c r="AL3" s="112">
        <v>6</v>
      </c>
      <c r="AM3" s="113">
        <v>4</v>
      </c>
      <c r="AN3" s="113">
        <v>1</v>
      </c>
      <c r="AO3" s="114">
        <v>4</v>
      </c>
      <c r="AP3" s="187">
        <v>2</v>
      </c>
      <c r="AQ3" s="189">
        <v>2</v>
      </c>
      <c r="AR3" s="191">
        <v>1</v>
      </c>
    </row>
    <row r="4" spans="1:44" ht="16.5" customHeight="1" x14ac:dyDescent="0.35">
      <c r="A4" s="82" t="s">
        <v>11</v>
      </c>
      <c r="B4" s="269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59" t="s">
        <v>48</v>
      </c>
      <c r="I4" s="85" t="s">
        <v>48</v>
      </c>
      <c r="J4" s="85" t="s">
        <v>48</v>
      </c>
      <c r="K4" s="85" t="s">
        <v>48</v>
      </c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E4" s="310" t="s">
        <v>101</v>
      </c>
      <c r="AF4" s="321">
        <v>33</v>
      </c>
      <c r="AG4" s="289">
        <v>1</v>
      </c>
      <c r="AH4" s="289"/>
      <c r="AI4" s="290">
        <v>8</v>
      </c>
      <c r="AJ4" s="290">
        <v>7</v>
      </c>
      <c r="AK4" s="449">
        <f>(COUNTIF($C$4:$AA$33,$AJ$23))</f>
        <v>0</v>
      </c>
      <c r="AL4" s="290">
        <v>6</v>
      </c>
      <c r="AM4" s="290">
        <v>4</v>
      </c>
      <c r="AN4" s="290">
        <v>1</v>
      </c>
      <c r="AO4" s="290">
        <v>4</v>
      </c>
      <c r="AP4" s="291">
        <v>2</v>
      </c>
      <c r="AQ4" s="291">
        <v>2</v>
      </c>
      <c r="AR4" s="290">
        <v>1</v>
      </c>
    </row>
    <row r="5" spans="1:44" ht="16.5" customHeight="1" x14ac:dyDescent="0.35">
      <c r="A5" s="91" t="s">
        <v>11</v>
      </c>
      <c r="B5" s="5" t="s">
        <v>218</v>
      </c>
      <c r="C5" s="6"/>
      <c r="D5" s="2"/>
      <c r="E5" s="2"/>
      <c r="F5" s="2"/>
      <c r="G5" s="7"/>
      <c r="H5" s="196"/>
      <c r="I5" s="2"/>
      <c r="J5" s="2"/>
      <c r="K5" s="2"/>
      <c r="L5" s="1"/>
      <c r="M5" s="6"/>
      <c r="N5" s="2"/>
      <c r="O5" s="2"/>
      <c r="P5" s="2"/>
      <c r="Q5" s="7"/>
      <c r="R5" s="6"/>
      <c r="S5" s="2"/>
      <c r="T5" s="2"/>
      <c r="U5" s="2"/>
      <c r="V5" s="7"/>
      <c r="W5" s="8" t="s">
        <v>48</v>
      </c>
      <c r="X5" s="2"/>
      <c r="Y5" s="4" t="s">
        <v>48</v>
      </c>
      <c r="Z5" s="4" t="s">
        <v>48</v>
      </c>
      <c r="AA5" s="9" t="s">
        <v>48</v>
      </c>
      <c r="AB5" s="287">
        <v>1</v>
      </c>
      <c r="AE5" s="310" t="s">
        <v>254</v>
      </c>
      <c r="AF5" s="321">
        <f>(AF3-7)*25</f>
        <v>800</v>
      </c>
      <c r="AG5" s="304">
        <f t="shared" ref="AG5:AQ5" si="0">AG3*25</f>
        <v>25</v>
      </c>
      <c r="AH5" s="304">
        <f t="shared" si="0"/>
        <v>125</v>
      </c>
      <c r="AI5" s="304">
        <f t="shared" si="0"/>
        <v>200</v>
      </c>
      <c r="AJ5" s="304">
        <f t="shared" si="0"/>
        <v>175</v>
      </c>
      <c r="AK5" s="415">
        <f>(COUNTIF($C$22:$AA$33,AK1))+(COUNTIF($C$13:$AA$13,AK1))+(COUNTIF($C$4:$AA$11,AK1))</f>
        <v>0</v>
      </c>
      <c r="AL5" s="304">
        <f t="shared" si="0"/>
        <v>150</v>
      </c>
      <c r="AM5" s="304">
        <f t="shared" si="0"/>
        <v>100</v>
      </c>
      <c r="AN5" s="304"/>
      <c r="AO5" s="304">
        <f t="shared" si="0"/>
        <v>100</v>
      </c>
      <c r="AP5" s="304">
        <f t="shared" si="0"/>
        <v>50</v>
      </c>
      <c r="AQ5" s="304">
        <f t="shared" si="0"/>
        <v>50</v>
      </c>
      <c r="AR5" s="304">
        <f>AR3*25</f>
        <v>25</v>
      </c>
    </row>
    <row r="6" spans="1:44" ht="18" customHeight="1" x14ac:dyDescent="0.35">
      <c r="A6" s="91" t="s">
        <v>11</v>
      </c>
      <c r="B6" s="270" t="s">
        <v>219</v>
      </c>
      <c r="C6" s="22" t="s">
        <v>50</v>
      </c>
      <c r="D6" s="23" t="s">
        <v>50</v>
      </c>
      <c r="E6" s="23" t="s">
        <v>50</v>
      </c>
      <c r="F6" s="23" t="s">
        <v>50</v>
      </c>
      <c r="G6" s="24" t="s">
        <v>50</v>
      </c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6"/>
      <c r="X6" s="2"/>
      <c r="Y6" s="2"/>
      <c r="Z6" s="2"/>
      <c r="AA6" s="7"/>
      <c r="AB6" s="287">
        <v>1</v>
      </c>
      <c r="AE6" s="311"/>
      <c r="AF6" s="322"/>
      <c r="AG6" s="130"/>
      <c r="AH6" s="130"/>
      <c r="AI6" s="120"/>
      <c r="AJ6" s="120"/>
      <c r="AK6" s="120"/>
      <c r="AL6" s="120"/>
      <c r="AM6" s="120"/>
      <c r="AN6" s="120"/>
      <c r="AO6" s="120"/>
      <c r="AP6" s="185"/>
      <c r="AQ6" s="185"/>
      <c r="AR6" s="120"/>
    </row>
    <row r="7" spans="1:44" ht="16.5" customHeight="1" x14ac:dyDescent="0.35">
      <c r="A7" s="91" t="s">
        <v>11</v>
      </c>
      <c r="B7" s="5" t="s">
        <v>220</v>
      </c>
      <c r="C7" s="6"/>
      <c r="D7" s="2"/>
      <c r="E7" s="2"/>
      <c r="F7" s="2"/>
      <c r="G7" s="7"/>
      <c r="H7" s="196"/>
      <c r="I7" s="2"/>
      <c r="J7" s="2"/>
      <c r="K7" s="2"/>
      <c r="L7" s="1"/>
      <c r="M7" s="8" t="s">
        <v>48</v>
      </c>
      <c r="N7" s="4" t="s">
        <v>48</v>
      </c>
      <c r="O7" s="4" t="s">
        <v>48</v>
      </c>
      <c r="P7" s="4" t="s">
        <v>48</v>
      </c>
      <c r="Q7" s="9" t="s">
        <v>48</v>
      </c>
      <c r="R7" s="6"/>
      <c r="S7" s="2"/>
      <c r="T7" s="2"/>
      <c r="U7" s="2"/>
      <c r="V7" s="7"/>
      <c r="W7" s="14" t="s">
        <v>49</v>
      </c>
      <c r="X7" s="8" t="s">
        <v>48</v>
      </c>
      <c r="Y7" s="15" t="s">
        <v>49</v>
      </c>
      <c r="Z7" s="20" t="s">
        <v>51</v>
      </c>
      <c r="AA7" s="24" t="s">
        <v>50</v>
      </c>
      <c r="AB7" s="287">
        <v>1</v>
      </c>
      <c r="AE7" s="312" t="s">
        <v>61</v>
      </c>
      <c r="AF7" s="324">
        <f>SUM(AG7:AR7)</f>
        <v>207</v>
      </c>
      <c r="AG7" s="315">
        <f>(COUNTIF($C$4:$AA$33,$AG$2))</f>
        <v>4</v>
      </c>
      <c r="AH7" s="306"/>
      <c r="AI7" s="306">
        <f>(COUNTIF($C$4:$AA$35,$AI$2))</f>
        <v>48</v>
      </c>
      <c r="AJ7" s="306">
        <f>(COUNTIF($C$4:$AA$35,$AJ$2))-0.5</f>
        <v>46.5</v>
      </c>
      <c r="AK7" s="295">
        <v>2</v>
      </c>
      <c r="AL7" s="306">
        <f>(COUNTIF($C$4:$AA$35,$AL$2))</f>
        <v>42</v>
      </c>
      <c r="AM7" s="306">
        <f>(COUNTIF($C$4:$AA$35,$AM$2))-0.5</f>
        <v>16.5</v>
      </c>
      <c r="AN7" s="306">
        <v>1</v>
      </c>
      <c r="AO7" s="306">
        <f>(COUNTIF($C$4:$AA$35,$AO$2))</f>
        <v>29</v>
      </c>
      <c r="AP7" s="306">
        <f>(COUNTIF($C$4:$AA$35,$AP$2))</f>
        <v>4</v>
      </c>
      <c r="AQ7" s="306">
        <f>(COUNTIF($C$4:$AA$35,$AQ$2))</f>
        <v>13</v>
      </c>
      <c r="AR7" s="306">
        <f>(COUNTIF($C$4:$AA$35,"SG"))</f>
        <v>1</v>
      </c>
    </row>
    <row r="8" spans="1:44" ht="16.5" customHeight="1" x14ac:dyDescent="0.35">
      <c r="A8" s="91" t="s">
        <v>11</v>
      </c>
      <c r="B8" s="5" t="s">
        <v>221</v>
      </c>
      <c r="C8" s="6"/>
      <c r="D8" s="2"/>
      <c r="E8" s="97"/>
      <c r="F8" s="2"/>
      <c r="G8" s="7"/>
      <c r="H8" s="98" t="s">
        <v>48</v>
      </c>
      <c r="I8" s="4" t="s">
        <v>48</v>
      </c>
      <c r="J8" s="4" t="s">
        <v>48</v>
      </c>
      <c r="K8" s="4" t="s">
        <v>48</v>
      </c>
      <c r="L8" s="33" t="s">
        <v>48</v>
      </c>
      <c r="M8" s="6"/>
      <c r="N8" s="2"/>
      <c r="O8" s="2"/>
      <c r="P8" s="2"/>
      <c r="Q8" s="7"/>
      <c r="R8" s="6"/>
      <c r="S8" s="31"/>
      <c r="T8" s="31"/>
      <c r="U8" s="31"/>
      <c r="V8" s="7"/>
      <c r="W8" s="6"/>
      <c r="X8" s="2"/>
      <c r="Y8" s="2"/>
      <c r="Z8" s="2"/>
      <c r="AA8" s="7"/>
      <c r="AB8" s="287">
        <v>1</v>
      </c>
      <c r="AE8" s="312" t="s">
        <v>249</v>
      </c>
      <c r="AF8" s="324">
        <f>AI8+AJ8+AL8+AM8+AO8+AQ8+AG8+AP8+AR8</f>
        <v>217</v>
      </c>
      <c r="AG8" s="316">
        <f>COUNTIF($C$4:$AA$4,$AG$2)*$AB$4+COUNTIF($C$5:$AA$5,$AG$2)*$AB$5+COUNTIF($C$6:$AA$6,$AG$2)*$AB$6+COUNTIF($C$7:$AA$7,$AG$2)*$AB$7+COUNTIF($C$8:$AA$8,$AG$2)*$AB$8+COUNTIF($C$9:$AA$9,$AG$2)*$AB$9+COUNTIF($C$10:$AA$10,$AG$2)*$AB$10+COUNTIF($C$11:$AA$11,$AG$2)*$AB$11+COUNTIF($C$12:$AA$12,$AG$2)*$AB$12+COUNTIF($C$13:$AA$13,$AG$2)*$AB$13+COUNTIF($C$14:$AA$14,$AG$2)*$AB$14+COUNTIF($C$15:$AA$15,$AG$2)*$AB$15+COUNTIF($C$16:$AA$16,$AG$2)*$AB$16+COUNTIF($C$17:$AA$17,$AG$2)*$AB$17+COUNTIF($C$18:$AA$18,$AG$2)*$AB$18+COUNTIF($C$19:$AA$19,$AG$2)*$AB$19+COUNTIF($C$20:$AA$20,$AG$2)*$AB$20+COUNTIF($C$21:$AA$21,$AG$2)*$AB$21+COUNTIF($C$22:$AA$22,$AG$2)*$AB$22+COUNTIF($C$23:$AA$23,$AG$2)*$AB$23+COUNTIF($C$24:$AA$24,$AG$2)*$AB$24+COUNTIF($C$25:$AA$25,$AG$2)*$AB$25+COUNTIF($C$26:$AA$26,$AG$2)*$AB$26+COUNTIF($C$27:$AA$27,$AG$2)*$AB$27+COUNTIF($C$28:$AA$28,$AG$2)*$AB$28+COUNTIF($C$29:$AA$29,$AG$2)*$AB$29+COUNTIF($C$30:$AA$30,$AG$2)*$AB$30+COUNTIF($C$31:$AA$31,$AG$2)*$AB$31+COUNTIF($C$32:$AA$32,$AG$2)*$AB$32+COUNTIF($C$33:$AA$33,$AG$2)*$AB$33+COUNTIF($C$34:$AA$34,$AG$2)*$AB$34</f>
        <v>2</v>
      </c>
      <c r="AH8" s="295">
        <f>4+4+4.25+7.125+3.25</f>
        <v>22.625</v>
      </c>
      <c r="AI8" s="295">
        <f>COUNTIF($C$4:$AA$4,$AI$2)*$AB$4+COUNTIF($C$5:$AA$5,$AI$2)*$AB$5+COUNTIF($C$6:$AA$6,$AI$2)*$AB$6+COUNTIF($C$7:$AA$7,$AI$2)*$AB$7+COUNTIF($C$8:$AA$8,$AI$2)*$AB$8+COUNTIF($C$9:$AA$9,$AI$2)*$AB$9+COUNTIF($C$10:$AA$10,$AI$2)*$AB$10+COUNTIF($C$11:$AA$11,$AI$2)*$AB$11+COUNTIF($C$12:$AA$12,$AI$2)*$AB$12+COUNTIF($C$13:$AA$13,$AI$2)*$AB$13+COUNTIF($C$14:$AA$14,$AI$2)*$AB$14+COUNTIF($C$15:$AA$15,$AI$2)*$AB$15+COUNTIF($C$16:$AA$16,$AI$2)*$AB$16+COUNTIF($C$17:$AA$17,$AI$2)*$AB$17+COUNTIF($C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+COUNTIF($C$34:$AA$34,$AI$2)*$AB$34</f>
        <v>52.5</v>
      </c>
      <c r="AJ8" s="295">
        <f>COUNTIF($C$4:$AA$4,AJ2)*$AB$4+COUNTIF($C$5:$AA$5,$AJ$2)*$AB$5+COUNTIF($C$6:$AA$6,$AJ$2)*$AB$6+COUNTIF($C$7:$AA$7,$AJ$2)*$AB$7+COUNTIF($C$8:$AA$8,$AJ$2)*$AB$8++COUNTIF($C$9:$AA$9,$AJ$2)*$AB$9+COUNTIF($C$10:$AA$10,$AJ$2)*$AB$10+COUNTIF($C$11:$AA$11,$AJ$2)*$AB$11+COUNTIF($C$12:$AA$12,$AJ$2)*$AB$12-0.25+COUNTIF($C$13:$AA$13,$AJ$2)*$AB$13+COUNTIF($C$14:$AA$14,$AJ$2)*$AB$14+COUNTIF($C$15:$AA$15,$AJ$2)*$AB$15+COUNTIF($C$16:$AA$16,$AJ$2)*$AB$16+COUNTIF($C$17:$AA$17,$AJ$2)*$AB$17+COUNTIF($C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+COUNTIF($C$34:$AA$34,$AJ$2)*$AB$34</f>
        <v>49</v>
      </c>
      <c r="AK8" s="306">
        <f>1.25+1.5</f>
        <v>2.75</v>
      </c>
      <c r="AL8" s="295">
        <f>COUNTIF($C$4:$AA$4,$AL$2)*$AB$4+COUNTIF($C$5:$AA$5,$AL$2)*$AB$5+COUNTIF($C$6:$AA$6,$AL$2)*$AB$6+COUNTIF($C$7:$AA$7,$AL$2)*$AB$7+COUNTIF($C$8:$AA$8,$AL$2)*$AB$8+COUNTIF($C$9:$AA$9,$AL$2)*$AB$9+COUNTIF($C$10:$AA$10,$AL$2)*$AB$10+COUNTIF($C$11:$AA$11,$AL$2)*$AB$11+COUNTIF($C$12:$AA$12,$AL$2)*$AB$12+COUNTIF($C$13:$AA$13,$AL$2)*$AB$13+COUNTIF($C$14:$AA$14,$AL$2)*$AB$14+COUNTIF($C$15:$AA$15,$AL$2)*$AB$15+COUNTIF($C$16:$AA$16,$AL$2)*$AB$16+COUNTIF($C$17:$AA$17,$AL$2)*$AB$17+COUNTIF($C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$96+COUNTIF($C$31:$AA$31,$AL$2)*$AB$31+COUNTIF($C$32:$AA$32,$AL$2)*$AB$32+COUNTIF($C$33:$AA$33,$AL$2)*$AB$33+COUNTIF($C$34:$AA$34,$AL$2)*$AB$34</f>
        <v>46</v>
      </c>
      <c r="AM8" s="295">
        <f>COUNTIF($C$4:$AA$4,$AM$2)*$AB$4+COUNTIF($C$5:$AA$5,$AM$2)*$AB$5+COUNTIF($C$6:$AA$6,$AM$2)*$AB$6+COUNTIF($C$7:$AA$7,$AM$2)*$AB$7+COUNTIF($C$8:$AA$8,$AM$2)*$AB$8+COUNTIF($C$9:$AA$9,$AM$2)*$AB$9+COUNTIF($C$10:$AA$10,$AM$2)*$AB$10+COUNTIF($C$11:$AA$11,$AM$2)*$AB$11+COUNTIF($C$12:$AA$12,$AM$2)*$AB$12-0.25+COUNTIF($C$13:$AA$13,$AM$2)*$AB$13+COUNTIF($C$14:$AA$14,$AM$2)*$AB$14+COUNTIF($C$15:$AA$15,$AM$2)*$AB$15+COUNTIF($C$16:$AA$16,$AM$2)*$AB$16+COUNTIF($C$17:$AA$17,$AM$2)*$AB$17+COUNTIF($C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+COUNTIF($C$34:$AA$34,$AM$2)*$AB$34</f>
        <v>22</v>
      </c>
      <c r="AN8" s="295">
        <v>1.5</v>
      </c>
      <c r="AO8" s="295">
        <f>COUNTIF($C$4:$AA$4,$AO$2)*$AB$4+COUNTIF($C$5:$AA$5,$AO$2)*$AB$5+COUNTIF($C$6:$AA$6,$AO$2)*$AB$6+COUNTIF($C$7:$AA$7,$AO$2)*$AB$7+COUNTIF($C$8:$AA$8,$AO$2)*$AB$8+COUNTIF($C$9:$AA$9,$AO$2)*$AB$9+COUNTIF($C$10:$AA$10,$AO$2)*$AB$10+COUNTIF($C$11:$AA$11,$AO$2)*$AB$11+COUNTIF($C$12:$AA$12,$AO$2)*$AB$12+COUNTIF($C$13:$AA$13,$AO$2)*$AB$13+COUNTIF($C$14:$AA$14,$AO$2)*$AB$14+COUNTIF($C$15:$AA$15,$AO$2)*$AB$15+COUNTIF($C$16:$AA$16,$AO$2)*$AB$16+COUNTIF($C$17:$AA$17,$AO$2)*$AB$17+COUNTIF($C$18:$AA$18,$AO$2)*$AB$18+COUNTIF($C$19:$AA$19,$AO$2)*$AB$19+COUNTIF($C$20:$AA$20,$AO$2)*$AB$20+COUNTIF($C$21:$AA$21,$AO$2)*$AB$21+COUNTIF($C$22:$AA$22,$AO$2)*$AB$22+COUNTIF($C$23:$AA$23,$AO$2)*$AB$23+COUNTIF($C$24:$AA$24,$AO$2)*$AB$24+COUNTIF($C$25:$AA$25,$AO$2)*$AB$25+COUNTIF($C$26:$AA$26,$AO$2)*$AB$26+COUNTIF($C$27:$AA$27,$AO$2)*$AB$27+COUNTIF($C$28:$AA$28,$AO$2)*$AB$28+COUNTIF($C$29:$AA$29,$AO$2)*$AB$29+COUNTIF($C$30:$AA$30,$AO$2)*$AB$30+COUNTIF($C$31:$AA$31,$AO$2)*$AB$31+COUNTIF($C$32:$AA$32,$AO$2)*$AB$32+COUNTIF($C$33:$AA$33,$AO$2)*$AB$33+COUNTIF($C$34:$AA$34,$AO$2)*$AB$34</f>
        <v>27.25</v>
      </c>
      <c r="AP8" s="295">
        <f>COUNTIF($C$4:$AA$4,$AP$2)*$AB$4+COUNTIF($C$5:$AA$5,$AP$2)*$AB$5+COUNTIF($C$6:$AA$6,$AP$2)*$AB$6+COUNTIF($C$7:$AA$7,$AP$2)*$AB$7+COUNTIF($C$8:$AA$8,$AP$2)*$AB$8+COUNTIF($C$9:$AA$9,$AP$2)*$AB$9+COUNTIF($C$10:$AA$10,$AP$2)*$AB$10+COUNTIF($C$11:$AA$11,$AP$2)*$AB$11+COUNTIF($C$12:$AA$12,$AP$2)*$AB$12+COUNTIF($C$13:$AA$13,$AP$2)*$AB$13+COUNTIF($C$14:$AA$14,$AP$2)*$AB$14+COUNTIF($C$15:$AA$15,$AP$2)*$AB$15+COUNTIF($C$16:$AA$16,$AP$2)*$AB$16+COUNTIF($C$17:$AA$17,$AP$2)*$AB$17+COUNTIF($C$18:$AA$18,$AP$2)*$AB$18+COUNTIF($C$19:$AA$19,$AP$2)*$AB$19+COUNTIF($C$20:$AA$20,$AP$2)*$AB$20+COUNTIF($C$21:$AA$21,$AP$2)*$AB$21+COUNTIF($C$22:$AA$22,$AP$2)*$AB$22+COUNTIF($C$23:$AA$23,$AP$2)*$AB$23+COUNTIF($C$24:$AA$24,$AP$2)*$AB$24+COUNTIF($C$25:$AA$25,$AP$2)*$AB$25+COUNTIF($C$26:$AA$26,$AP$2)*$AB$26+COUNTIF($C$27:$AA$27,$AP$2)*$AB$27+COUNTIF($C$28:$AA$28,$AP$2)*$AB$28+COUNTIF($C$29:$AA$29,$AP$2)*$AB$29+COUNTIF($C$30:$AA$30,$AP$2)*$AB$30+COUNTIF($C$31:$AA$31,$AP$2)*$AB$31+COUNTIF($C$32:$AA$32,$AP$2)*$AB$32+COUNTIF($C$33:$AA$33,$AP$2)*$AB$33+COUNTIF($C$34:$AA$34,$AP$2)*$AB$34</f>
        <v>5</v>
      </c>
      <c r="AQ8" s="295">
        <f>COUNTIF($C$4:$AA$4,$AQ$2)*$AB$4+COUNTIF($C$5:$AA$5,$AQ$2)*$AB$5+COUNTIF($C$6:$AA$6,$AQ$2)*$AB$6+COUNTIF($C$7:$AA$7,$AQ$2)*$AB$7+COUNTIF($C$8:$AA$8,$AQ$2)*$AB$8+COUNTIF($C$9:$AA$9,$AQ$2)*$AB$9+COUNTIF($C$10:$AA$10,$AQ$2)*$AB$10+COUNTIF($C$11:$AA$11,$AQ$2)*$AB$11+COUNTIF($C$12:$AA$12,$AQ$2)*$AB$12+COUNTIF($C$13:$AA$13,$AQ$2)*$AB$13+COUNTIF($C$14:$AA$14,$AQ$2)*$AB$14+COUNTIF($C$15:$AA$15,$AQ$2)*$AB$15+COUNTIF($C$16:$AA$16,$AQ$2)*$AB$16+COUNTIF($C$17:$AA$17,$AQ$2)*$AB$17+COUNTIF($C$18:$AA$18,$AQ$2)*$AB$18+COUNTIF($C$19:$AA$19,$AQ$2)*$AB$19+COUNTIF($C$20:$AA$20,$AQ$2)*$AB$20+COUNTIF($C$21:$AA$21,$AQ$2)*$AB$21+COUNTIF($C$22:$AA$22,$AQ$2)*$AB$22+COUNTIF($C$23:$AA$23,$AQ$2)*$AB$23+COUNTIF($C$24:$AA$24,$AQ$2)*$AB$24+COUNTIF($C$25:$AA$25,$AQ$2)*$AB$25+COUNTIF($C$26:$AA$26,$AQ$2)*$AB$26+COUNTIF($C$27:$AA$27,$AQ$2)*$AB$27+COUNTIF($C$28:$AA$28,$AQ$2)*$AB$28+COUNTIF($C$29:$AA$29,$AQ$2)*$AB$29+COUNTIF($C$30:$AA$30,$AQ$2)*$AB$30+COUNTIF($C$31:$AA$31,$AQ$2)*$AB$31+COUNTIF($C$32:$AA$32,$AQ$2)*$AB$32+COUNTIF($C$33:$AA$33,$AQ$2)*$AB$33+COUNTIF($C$34:$AA$34,$AQ$2)*$AB$34</f>
        <v>12</v>
      </c>
      <c r="AR8" s="295">
        <f>AR7*1.25</f>
        <v>1.25</v>
      </c>
    </row>
    <row r="9" spans="1:44" ht="16.5" customHeight="1" x14ac:dyDescent="0.35">
      <c r="A9" s="91" t="s">
        <v>11</v>
      </c>
      <c r="B9" s="5" t="s">
        <v>222</v>
      </c>
      <c r="C9" s="6"/>
      <c r="D9" s="2"/>
      <c r="E9" s="2"/>
      <c r="F9" s="2"/>
      <c r="G9" s="7"/>
      <c r="H9" s="196"/>
      <c r="I9" s="2"/>
      <c r="J9" s="2"/>
      <c r="K9" s="2"/>
      <c r="L9" s="1"/>
      <c r="M9" s="28" t="s">
        <v>33</v>
      </c>
      <c r="N9" s="4" t="s">
        <v>48</v>
      </c>
      <c r="O9" s="27" t="s">
        <v>33</v>
      </c>
      <c r="P9" s="27" t="s">
        <v>33</v>
      </c>
      <c r="Q9" s="163" t="s">
        <v>33</v>
      </c>
      <c r="R9" s="6"/>
      <c r="S9" s="2"/>
      <c r="T9" s="2"/>
      <c r="U9" s="2"/>
      <c r="V9" s="7"/>
      <c r="W9" s="6"/>
      <c r="X9" s="2"/>
      <c r="Y9" s="2"/>
      <c r="Z9" s="2"/>
      <c r="AA9" s="7"/>
      <c r="AB9" s="287">
        <v>1</v>
      </c>
      <c r="AE9" s="312" t="s">
        <v>240</v>
      </c>
      <c r="AF9" s="323"/>
      <c r="AG9" s="294"/>
      <c r="AH9" s="294"/>
      <c r="AI9" s="306">
        <f>AI7/AI3</f>
        <v>6</v>
      </c>
      <c r="AJ9" s="306">
        <f t="shared" ref="AJ9:AR9" si="1">AJ7/AJ3</f>
        <v>6.6428571428571432</v>
      </c>
      <c r="AK9" s="306"/>
      <c r="AL9" s="306">
        <f t="shared" si="1"/>
        <v>7</v>
      </c>
      <c r="AM9" s="306">
        <f t="shared" si="1"/>
        <v>4.125</v>
      </c>
      <c r="AN9" s="306"/>
      <c r="AO9" s="306">
        <f t="shared" si="1"/>
        <v>7.25</v>
      </c>
      <c r="AP9" s="306">
        <f t="shared" si="1"/>
        <v>2</v>
      </c>
      <c r="AQ9" s="306">
        <f t="shared" si="1"/>
        <v>6.5</v>
      </c>
      <c r="AR9" s="306">
        <f t="shared" si="1"/>
        <v>1</v>
      </c>
    </row>
    <row r="10" spans="1:44" ht="16.5" customHeight="1" x14ac:dyDescent="0.35">
      <c r="A10" s="91" t="s">
        <v>11</v>
      </c>
      <c r="B10" s="5" t="s">
        <v>223</v>
      </c>
      <c r="C10" s="198"/>
      <c r="D10" s="2"/>
      <c r="E10" s="23" t="s">
        <v>50</v>
      </c>
      <c r="F10" s="2"/>
      <c r="G10" s="7"/>
      <c r="H10" s="196"/>
      <c r="I10" s="2"/>
      <c r="J10" s="2"/>
      <c r="K10" s="2"/>
      <c r="L10" s="1"/>
      <c r="M10" s="6"/>
      <c r="N10" s="2"/>
      <c r="O10" s="2"/>
      <c r="P10" s="2"/>
      <c r="Q10" s="7"/>
      <c r="R10" s="6"/>
      <c r="S10" s="2"/>
      <c r="T10" s="2"/>
      <c r="U10" s="2"/>
      <c r="V10" s="7"/>
      <c r="W10" s="6"/>
      <c r="X10" s="2"/>
      <c r="Y10" s="2"/>
      <c r="Z10" s="2"/>
      <c r="AA10" s="7"/>
      <c r="AB10" s="287">
        <v>1.5</v>
      </c>
      <c r="AE10" s="312" t="s">
        <v>250</v>
      </c>
      <c r="AF10" s="324">
        <f>(AF8-AH8)/AF4</f>
        <v>5.8901515151515156</v>
      </c>
      <c r="AG10" s="316">
        <f>AG8/AG4</f>
        <v>2</v>
      </c>
      <c r="AH10" s="295"/>
      <c r="AI10" s="295">
        <f>(AI8-4)/AI4</f>
        <v>6.0625</v>
      </c>
      <c r="AJ10" s="295">
        <f>(AJ8-1.75)/AJ4</f>
        <v>6.75</v>
      </c>
      <c r="AK10" s="295">
        <f>(AK8)/AK3</f>
        <v>2.75</v>
      </c>
      <c r="AL10" s="295">
        <f>(AL8-4)/AL4</f>
        <v>7</v>
      </c>
      <c r="AM10" s="295">
        <f>(AM8-7.125)/AM4</f>
        <v>3.71875</v>
      </c>
      <c r="AN10" s="295">
        <f>(AN8)/AN4</f>
        <v>1.5</v>
      </c>
      <c r="AO10" s="295">
        <f>(AO8-3.25)/AO4</f>
        <v>6</v>
      </c>
      <c r="AP10" s="295">
        <f>AP8/AP4</f>
        <v>2.5</v>
      </c>
      <c r="AQ10" s="295">
        <f>(AQ8)/AQ4</f>
        <v>6</v>
      </c>
      <c r="AR10" s="295">
        <f>AR8/AR4</f>
        <v>1.25</v>
      </c>
    </row>
    <row r="11" spans="1:44" ht="16.5" customHeight="1" x14ac:dyDescent="0.35">
      <c r="A11" s="91" t="s">
        <v>11</v>
      </c>
      <c r="B11" s="5" t="s">
        <v>224</v>
      </c>
      <c r="C11" s="207"/>
      <c r="D11" s="208"/>
      <c r="E11" s="31"/>
      <c r="F11" s="2"/>
      <c r="G11" s="7"/>
      <c r="H11" s="196"/>
      <c r="I11" s="2"/>
      <c r="J11" s="2"/>
      <c r="K11" s="2"/>
      <c r="L11" s="1"/>
      <c r="M11" s="6"/>
      <c r="N11" s="2"/>
      <c r="O11" s="2"/>
      <c r="P11" s="2"/>
      <c r="Q11" s="7"/>
      <c r="R11" s="263"/>
      <c r="S11" s="264"/>
      <c r="T11" s="265"/>
      <c r="U11" s="265"/>
      <c r="V11" s="265"/>
      <c r="W11" s="6"/>
      <c r="X11" s="2"/>
      <c r="Y11" s="2"/>
      <c r="Z11" s="2"/>
      <c r="AA11" s="7"/>
      <c r="AB11" s="287">
        <v>1.5</v>
      </c>
      <c r="AE11" s="310" t="s">
        <v>62</v>
      </c>
      <c r="AF11" s="321">
        <f>AI11+AJ11+AL11+AM11+AO11+AQ11</f>
        <v>400</v>
      </c>
      <c r="AG11" s="298"/>
      <c r="AH11" s="298"/>
      <c r="AI11" s="299">
        <f>25*2*2</f>
        <v>100</v>
      </c>
      <c r="AJ11" s="299">
        <f>25*2*2</f>
        <v>100</v>
      </c>
      <c r="AK11" s="453">
        <v>1</v>
      </c>
      <c r="AL11" s="300">
        <f>25*2</f>
        <v>50</v>
      </c>
      <c r="AM11" s="300">
        <f t="shared" ref="AM11:AQ11" si="2">25*2</f>
        <v>50</v>
      </c>
      <c r="AN11" s="300"/>
      <c r="AO11" s="300">
        <f t="shared" si="2"/>
        <v>50</v>
      </c>
      <c r="AP11" s="300"/>
      <c r="AQ11" s="300">
        <f t="shared" si="2"/>
        <v>50</v>
      </c>
      <c r="AR11" s="300"/>
    </row>
    <row r="12" spans="1:44" ht="18" customHeight="1" x14ac:dyDescent="0.35">
      <c r="A12" s="91" t="s">
        <v>11</v>
      </c>
      <c r="B12" s="5" t="s">
        <v>9</v>
      </c>
      <c r="C12" s="6"/>
      <c r="D12" s="2"/>
      <c r="E12" s="2"/>
      <c r="F12" s="2"/>
      <c r="G12" s="7"/>
      <c r="H12" s="196"/>
      <c r="I12" s="2"/>
      <c r="J12" s="2"/>
      <c r="K12" s="2"/>
      <c r="L12" s="1"/>
      <c r="M12" s="164" t="s">
        <v>251</v>
      </c>
      <c r="N12" s="15" t="s">
        <v>49</v>
      </c>
      <c r="O12" s="165" t="s">
        <v>251</v>
      </c>
      <c r="P12" s="165" t="s">
        <v>251</v>
      </c>
      <c r="Q12" s="165" t="s">
        <v>251</v>
      </c>
      <c r="R12" s="193" t="s">
        <v>48</v>
      </c>
      <c r="S12" s="258" t="s">
        <v>50</v>
      </c>
      <c r="T12" s="9" t="s">
        <v>48</v>
      </c>
      <c r="U12" s="2" t="s">
        <v>33</v>
      </c>
      <c r="V12" s="7"/>
      <c r="W12" s="6"/>
      <c r="X12" s="2"/>
      <c r="Y12" s="2"/>
      <c r="Z12" s="2"/>
      <c r="AA12" s="7"/>
      <c r="AB12" s="287">
        <v>0.5</v>
      </c>
      <c r="AE12" s="313" t="s">
        <v>90</v>
      </c>
      <c r="AF12" s="325">
        <f>(AF11-9)/AF3</f>
        <v>10.025641025641026</v>
      </c>
      <c r="AG12" s="317">
        <f>AG11/AG3</f>
        <v>0</v>
      </c>
      <c r="AH12" s="307"/>
      <c r="AI12" s="307">
        <f t="shared" ref="AI12:AR12" si="3">AI11/AI3</f>
        <v>12.5</v>
      </c>
      <c r="AJ12" s="307">
        <f t="shared" si="3"/>
        <v>14.285714285714286</v>
      </c>
      <c r="AK12" s="455">
        <f t="shared" ref="AK12" si="4">AK3*25</f>
        <v>25</v>
      </c>
      <c r="AL12" s="307">
        <f t="shared" si="3"/>
        <v>8.3333333333333339</v>
      </c>
      <c r="AM12" s="307">
        <f t="shared" si="3"/>
        <v>12.5</v>
      </c>
      <c r="AN12" s="307"/>
      <c r="AO12" s="307">
        <f t="shared" si="3"/>
        <v>12.5</v>
      </c>
      <c r="AP12" s="307">
        <f t="shared" si="3"/>
        <v>0</v>
      </c>
      <c r="AQ12" s="307">
        <f t="shared" si="3"/>
        <v>25</v>
      </c>
      <c r="AR12" s="307">
        <f t="shared" si="3"/>
        <v>0</v>
      </c>
    </row>
    <row r="13" spans="1:44" ht="16.5" customHeight="1" thickBot="1" x14ac:dyDescent="0.4">
      <c r="A13" s="92" t="s">
        <v>11</v>
      </c>
      <c r="B13" s="93" t="s">
        <v>35</v>
      </c>
      <c r="C13" s="266"/>
      <c r="D13" s="260" t="s">
        <v>50</v>
      </c>
      <c r="E13" s="267"/>
      <c r="F13" s="260" t="s">
        <v>50</v>
      </c>
      <c r="G13" s="268"/>
      <c r="H13" s="202" t="s">
        <v>50</v>
      </c>
      <c r="I13" s="95" t="s">
        <v>50</v>
      </c>
      <c r="J13" s="95" t="s">
        <v>50</v>
      </c>
      <c r="K13" s="95" t="s">
        <v>50</v>
      </c>
      <c r="L13" s="201" t="s">
        <v>50</v>
      </c>
      <c r="M13" s="94" t="s">
        <v>50</v>
      </c>
      <c r="N13" s="95" t="s">
        <v>50</v>
      </c>
      <c r="O13" s="95" t="s">
        <v>50</v>
      </c>
      <c r="P13" s="95" t="s">
        <v>50</v>
      </c>
      <c r="Q13" s="96" t="s">
        <v>50</v>
      </c>
      <c r="R13" s="94" t="s">
        <v>50</v>
      </c>
      <c r="S13" s="95" t="s">
        <v>50</v>
      </c>
      <c r="T13" s="95" t="s">
        <v>50</v>
      </c>
      <c r="U13" s="95" t="s">
        <v>50</v>
      </c>
      <c r="V13" s="96" t="s">
        <v>50</v>
      </c>
      <c r="W13" s="10"/>
      <c r="X13" s="11"/>
      <c r="Y13" s="11"/>
      <c r="Z13" s="11"/>
      <c r="AA13" s="12"/>
      <c r="AB13" s="287">
        <v>1</v>
      </c>
      <c r="AE13" s="314" t="s">
        <v>43</v>
      </c>
      <c r="AF13" s="326">
        <f>AF5-AF8-AF11</f>
        <v>183</v>
      </c>
      <c r="AG13" s="318"/>
      <c r="AH13" s="305"/>
      <c r="AI13" s="305">
        <f t="shared" ref="AI13:AR13" si="5">AI5-AI8-AI11</f>
        <v>47.5</v>
      </c>
      <c r="AJ13" s="305">
        <f t="shared" si="5"/>
        <v>26</v>
      </c>
      <c r="AK13" s="299"/>
      <c r="AL13" s="305">
        <f t="shared" si="5"/>
        <v>54</v>
      </c>
      <c r="AM13" s="305">
        <f t="shared" si="5"/>
        <v>28</v>
      </c>
      <c r="AN13" s="305"/>
      <c r="AO13" s="305">
        <f t="shared" si="5"/>
        <v>22.75</v>
      </c>
      <c r="AP13" s="305">
        <f t="shared" si="5"/>
        <v>45</v>
      </c>
      <c r="AQ13" s="305">
        <f t="shared" si="5"/>
        <v>-12</v>
      </c>
      <c r="AR13" s="305">
        <f t="shared" si="5"/>
        <v>23.75</v>
      </c>
    </row>
    <row r="14" spans="1:44" ht="16.5" customHeight="1" x14ac:dyDescent="0.35">
      <c r="A14" s="203" t="s">
        <v>12</v>
      </c>
      <c r="B14" s="204" t="s">
        <v>225</v>
      </c>
      <c r="C14" s="59"/>
      <c r="D14" s="58"/>
      <c r="E14" s="58"/>
      <c r="F14" s="58"/>
      <c r="G14" s="61"/>
      <c r="H14" s="87"/>
      <c r="I14" s="88"/>
      <c r="J14" s="88"/>
      <c r="K14" s="88"/>
      <c r="L14" s="90"/>
      <c r="M14" s="59"/>
      <c r="N14" s="79" t="s">
        <v>33</v>
      </c>
      <c r="O14" s="58"/>
      <c r="P14" s="58"/>
      <c r="Q14" s="61"/>
      <c r="R14" s="80" t="s">
        <v>33</v>
      </c>
      <c r="S14" s="79" t="s">
        <v>33</v>
      </c>
      <c r="T14" s="79" t="s">
        <v>33</v>
      </c>
      <c r="U14" s="79" t="s">
        <v>33</v>
      </c>
      <c r="V14" s="81" t="s">
        <v>33</v>
      </c>
      <c r="W14" s="80" t="s">
        <v>33</v>
      </c>
      <c r="X14" s="79" t="s">
        <v>33</v>
      </c>
      <c r="Y14" s="79" t="s">
        <v>33</v>
      </c>
      <c r="Z14" s="79" t="s">
        <v>33</v>
      </c>
      <c r="AA14" s="81" t="s">
        <v>33</v>
      </c>
      <c r="AB14" s="287">
        <v>1.5</v>
      </c>
      <c r="AE14" s="314" t="s">
        <v>67</v>
      </c>
      <c r="AF14" s="328">
        <f>AF13/33</f>
        <v>5.5454545454545459</v>
      </c>
      <c r="AG14" s="301"/>
      <c r="AH14" s="301"/>
      <c r="AI14" s="329">
        <f t="shared" ref="AI14:AR14" si="6">AI13/AI3</f>
        <v>5.9375</v>
      </c>
      <c r="AJ14" s="329">
        <f t="shared" si="6"/>
        <v>3.7142857142857144</v>
      </c>
      <c r="AK14" s="307"/>
      <c r="AL14" s="329">
        <f t="shared" si="6"/>
        <v>9</v>
      </c>
      <c r="AM14" s="329">
        <f t="shared" si="6"/>
        <v>7</v>
      </c>
      <c r="AN14" s="329"/>
      <c r="AO14" s="329">
        <f t="shared" si="6"/>
        <v>5.6875</v>
      </c>
      <c r="AP14" s="329">
        <f t="shared" si="6"/>
        <v>22.5</v>
      </c>
      <c r="AQ14" s="329">
        <f t="shared" si="6"/>
        <v>-6</v>
      </c>
      <c r="AR14" s="329">
        <f t="shared" si="6"/>
        <v>23.75</v>
      </c>
    </row>
    <row r="15" spans="1:44" ht="16.5" customHeight="1" thickBot="1" x14ac:dyDescent="0.4">
      <c r="A15" s="205" t="s">
        <v>12</v>
      </c>
      <c r="B15" s="206" t="s">
        <v>226</v>
      </c>
      <c r="C15" s="6"/>
      <c r="D15" s="2"/>
      <c r="E15" s="2"/>
      <c r="F15" s="2"/>
      <c r="G15" s="7"/>
      <c r="H15" s="28" t="s">
        <v>274</v>
      </c>
      <c r="I15" s="15" t="s">
        <v>49</v>
      </c>
      <c r="J15" s="15" t="s">
        <v>49</v>
      </c>
      <c r="K15" s="15" t="s">
        <v>49</v>
      </c>
      <c r="L15" s="16" t="s">
        <v>49</v>
      </c>
      <c r="M15" s="6"/>
      <c r="N15" s="15" t="s">
        <v>49</v>
      </c>
      <c r="O15" s="2"/>
      <c r="P15" s="15" t="s">
        <v>49</v>
      </c>
      <c r="Q15" s="7"/>
      <c r="R15" s="6"/>
      <c r="S15" s="2"/>
      <c r="T15" s="2"/>
      <c r="U15" s="2"/>
      <c r="V15" s="7"/>
      <c r="W15" s="6"/>
      <c r="X15" s="2"/>
      <c r="Y15" s="2"/>
      <c r="Z15" s="2"/>
      <c r="AA15" s="7"/>
      <c r="AB15" s="287">
        <v>1.5</v>
      </c>
      <c r="AE15" s="314" t="s">
        <v>252</v>
      </c>
      <c r="AF15" s="327">
        <f>AF14/2</f>
        <v>2.7727272727272729</v>
      </c>
      <c r="AG15" s="301"/>
      <c r="AH15" s="301"/>
      <c r="AI15" s="302">
        <f>AI14/2</f>
        <v>2.96875</v>
      </c>
      <c r="AJ15" s="302">
        <f>AJ14/2</f>
        <v>1.8571428571428572</v>
      </c>
      <c r="AK15" s="329"/>
      <c r="AL15" s="302">
        <f>AL14/2</f>
        <v>4.5</v>
      </c>
      <c r="AM15" s="302">
        <f>AM14/2</f>
        <v>3.5</v>
      </c>
      <c r="AN15" s="302"/>
      <c r="AO15" s="302">
        <f>AO14/2</f>
        <v>2.84375</v>
      </c>
      <c r="AP15" s="303"/>
      <c r="AQ15" s="303">
        <f>AQ14/2</f>
        <v>-3</v>
      </c>
      <c r="AR15" s="302"/>
    </row>
    <row r="16" spans="1:44" ht="16.5" customHeight="1" x14ac:dyDescent="0.35">
      <c r="A16" s="205" t="s">
        <v>12</v>
      </c>
      <c r="B16" s="206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14" t="s">
        <v>49</v>
      </c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K16" s="496"/>
    </row>
    <row r="17" spans="1:44" ht="16.5" customHeight="1" x14ac:dyDescent="0.35">
      <c r="A17" s="205" t="s">
        <v>12</v>
      </c>
      <c r="B17" s="206" t="s">
        <v>228</v>
      </c>
      <c r="C17" s="8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8" t="s">
        <v>48</v>
      </c>
      <c r="N17" s="4" t="s">
        <v>48</v>
      </c>
      <c r="O17" s="4" t="s">
        <v>48</v>
      </c>
      <c r="P17" s="4" t="s">
        <v>48</v>
      </c>
      <c r="Q17" s="9" t="s">
        <v>48</v>
      </c>
      <c r="R17" s="193" t="s">
        <v>48</v>
      </c>
      <c r="S17" s="4" t="s">
        <v>48</v>
      </c>
      <c r="T17" s="194" t="s">
        <v>216</v>
      </c>
      <c r="U17" s="194" t="s">
        <v>216</v>
      </c>
      <c r="V17" s="24" t="s">
        <v>50</v>
      </c>
      <c r="W17" s="194" t="s">
        <v>216</v>
      </c>
      <c r="X17" s="195" t="s">
        <v>31</v>
      </c>
      <c r="Y17" s="20" t="s">
        <v>269</v>
      </c>
      <c r="Z17" s="199" t="s">
        <v>216</v>
      </c>
      <c r="AA17" s="9" t="s">
        <v>48</v>
      </c>
      <c r="AB17" s="287">
        <v>1.25</v>
      </c>
      <c r="AK17" s="497"/>
    </row>
    <row r="18" spans="1:44" ht="16.5" customHeight="1" x14ac:dyDescent="0.35">
      <c r="A18" s="205" t="s">
        <v>12</v>
      </c>
      <c r="B18" s="206" t="s">
        <v>229</v>
      </c>
      <c r="C18" s="14" t="s">
        <v>49</v>
      </c>
      <c r="D18" s="15" t="s">
        <v>49</v>
      </c>
      <c r="E18" s="4" t="s">
        <v>48</v>
      </c>
      <c r="F18" s="15" t="s">
        <v>49</v>
      </c>
      <c r="G18" s="9" t="s">
        <v>48</v>
      </c>
      <c r="H18" s="6"/>
      <c r="I18" s="2"/>
      <c r="J18" s="2"/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" t="s">
        <v>258</v>
      </c>
      <c r="AK18" s="407"/>
    </row>
    <row r="19" spans="1:44" ht="16.5" customHeight="1" x14ac:dyDescent="0.35">
      <c r="A19" s="205" t="s">
        <v>12</v>
      </c>
      <c r="B19" s="206" t="s">
        <v>230</v>
      </c>
      <c r="C19" s="6"/>
      <c r="D19" s="2"/>
      <c r="E19" s="2"/>
      <c r="F19" s="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9" t="s">
        <v>48</v>
      </c>
      <c r="M19" s="6"/>
      <c r="N19" s="2"/>
      <c r="O19" s="2"/>
      <c r="P19" s="2"/>
      <c r="Q19" s="7"/>
      <c r="R19" s="19" t="s">
        <v>51</v>
      </c>
      <c r="S19" s="20" t="s">
        <v>51</v>
      </c>
      <c r="T19" s="20" t="s">
        <v>51</v>
      </c>
      <c r="U19" s="20" t="s">
        <v>51</v>
      </c>
      <c r="V19" s="21" t="s">
        <v>51</v>
      </c>
      <c r="W19" s="6"/>
      <c r="X19" s="2"/>
      <c r="Y19" s="2"/>
      <c r="Z19" s="2"/>
      <c r="AA19" s="7"/>
      <c r="AB19" s="287">
        <v>1.5</v>
      </c>
      <c r="AD19" t="s">
        <v>241</v>
      </c>
    </row>
    <row r="20" spans="1:44" ht="16.5" customHeight="1" x14ac:dyDescent="0.35">
      <c r="A20" s="205" t="s">
        <v>12</v>
      </c>
      <c r="B20" s="206" t="s">
        <v>222</v>
      </c>
      <c r="C20" s="6"/>
      <c r="D20" s="2"/>
      <c r="E20" s="2"/>
      <c r="F20" s="2"/>
      <c r="G20" s="7"/>
      <c r="H20" s="6"/>
      <c r="I20" s="2"/>
      <c r="J20" s="23" t="s">
        <v>50</v>
      </c>
      <c r="K20" s="2"/>
      <c r="L20" s="7"/>
      <c r="M20" s="30"/>
      <c r="N20" s="31"/>
      <c r="O20" s="31"/>
      <c r="P20" s="31"/>
      <c r="Q20" s="250"/>
      <c r="R20" s="6"/>
      <c r="S20" s="2"/>
      <c r="T20" s="2"/>
      <c r="U20" s="2"/>
      <c r="V20" s="7"/>
      <c r="W20" s="6"/>
      <c r="X20" s="2"/>
      <c r="Y20" s="2"/>
      <c r="Z20" s="2"/>
      <c r="AA20" s="2"/>
      <c r="AB20" s="287">
        <v>1</v>
      </c>
      <c r="AD20" t="s">
        <v>242</v>
      </c>
    </row>
    <row r="21" spans="1:44" ht="16.5" customHeight="1" x14ac:dyDescent="0.35">
      <c r="A21" s="205" t="s">
        <v>12</v>
      </c>
      <c r="B21" s="206" t="s">
        <v>223</v>
      </c>
      <c r="C21" s="19" t="s">
        <v>269</v>
      </c>
      <c r="D21" s="23" t="s">
        <v>50</v>
      </c>
      <c r="E21" s="23" t="s">
        <v>50</v>
      </c>
      <c r="F21" s="23" t="s">
        <v>50</v>
      </c>
      <c r="G21" s="24" t="s">
        <v>50</v>
      </c>
      <c r="H21" s="6"/>
      <c r="I21" s="2"/>
      <c r="J21" s="2"/>
      <c r="K21" s="2"/>
      <c r="L21" s="7"/>
      <c r="M21" s="251"/>
      <c r="N21" s="2"/>
      <c r="O21" s="2"/>
      <c r="P21" s="2"/>
      <c r="Q21" s="7"/>
      <c r="R21" s="6"/>
      <c r="S21" s="2"/>
      <c r="T21" s="2"/>
      <c r="U21" s="2"/>
      <c r="V21" s="7"/>
      <c r="W21" s="6"/>
      <c r="X21" s="2"/>
      <c r="Y21" s="2"/>
      <c r="Z21" s="2"/>
      <c r="AA21" s="2"/>
      <c r="AB21" s="287">
        <v>1.5</v>
      </c>
      <c r="AD21" t="s">
        <v>243</v>
      </c>
    </row>
    <row r="22" spans="1:44" ht="21" customHeight="1" x14ac:dyDescent="0.35">
      <c r="A22" s="205" t="s">
        <v>12</v>
      </c>
      <c r="B22" s="206" t="s">
        <v>224</v>
      </c>
      <c r="C22" s="30"/>
      <c r="D22" s="31"/>
      <c r="E22" s="31"/>
      <c r="F22" s="31"/>
      <c r="G22" s="250"/>
      <c r="H22" s="6"/>
      <c r="I22" s="2"/>
      <c r="J22" s="2"/>
      <c r="K22" s="2"/>
      <c r="L22" s="7"/>
      <c r="M22" s="261"/>
      <c r="N22" s="209"/>
      <c r="O22" s="262"/>
      <c r="P22" s="2"/>
      <c r="Q22" s="7"/>
      <c r="R22" s="6"/>
      <c r="S22" s="2"/>
      <c r="T22" s="2"/>
      <c r="U22" s="2"/>
      <c r="V22" s="7"/>
      <c r="W22" s="262"/>
      <c r="X22" s="2"/>
      <c r="Y22" s="262"/>
      <c r="Z22" s="2"/>
      <c r="AA22" s="210"/>
      <c r="AB22" s="287">
        <v>1.5</v>
      </c>
      <c r="AD22" t="s">
        <v>244</v>
      </c>
    </row>
    <row r="23" spans="1:44" ht="16.5" customHeight="1" x14ac:dyDescent="0.35">
      <c r="A23" s="205" t="s">
        <v>12</v>
      </c>
      <c r="B23" s="333" t="s">
        <v>260</v>
      </c>
      <c r="C23" s="8" t="s">
        <v>48</v>
      </c>
      <c r="D23" s="2"/>
      <c r="E23" s="4" t="s">
        <v>48</v>
      </c>
      <c r="F23" s="2"/>
      <c r="G23" s="7"/>
      <c r="H23" s="6"/>
      <c r="I23" s="2"/>
      <c r="J23" s="2"/>
      <c r="K23" s="2"/>
      <c r="L23" s="7"/>
      <c r="M23" s="6"/>
      <c r="N23" s="2"/>
      <c r="O23" s="2"/>
      <c r="P23" s="2"/>
      <c r="Q23" s="7"/>
      <c r="R23" s="6"/>
      <c r="S23" s="2"/>
      <c r="T23" s="2"/>
      <c r="U23" s="2"/>
      <c r="V23" s="7"/>
      <c r="W23" s="6"/>
      <c r="X23" s="2"/>
      <c r="Y23" s="2"/>
      <c r="Z23" s="2"/>
      <c r="AA23" s="7"/>
      <c r="AB23" s="287">
        <v>0.5</v>
      </c>
      <c r="AD23" t="s">
        <v>245</v>
      </c>
    </row>
    <row r="24" spans="1:44" ht="16.5" customHeight="1" x14ac:dyDescent="0.35">
      <c r="A24" s="205" t="s">
        <v>12</v>
      </c>
      <c r="B24" s="206" t="s">
        <v>35</v>
      </c>
      <c r="C24" s="6"/>
      <c r="D24" s="2"/>
      <c r="E24" s="2"/>
      <c r="F24" s="23" t="s">
        <v>50</v>
      </c>
      <c r="G24" s="7"/>
      <c r="H24" s="22" t="s">
        <v>50</v>
      </c>
      <c r="I24" s="23" t="s">
        <v>50</v>
      </c>
      <c r="J24" s="23" t="s">
        <v>50</v>
      </c>
      <c r="K24" s="26" t="s">
        <v>50</v>
      </c>
      <c r="L24" s="252" t="s">
        <v>50</v>
      </c>
      <c r="M24" s="22" t="s">
        <v>50</v>
      </c>
      <c r="N24" s="23" t="s">
        <v>50</v>
      </c>
      <c r="O24" s="23" t="s">
        <v>50</v>
      </c>
      <c r="P24" s="26" t="s">
        <v>50</v>
      </c>
      <c r="Q24" s="252" t="s">
        <v>50</v>
      </c>
      <c r="R24" s="22" t="s">
        <v>50</v>
      </c>
      <c r="S24" s="23" t="s">
        <v>50</v>
      </c>
      <c r="T24" s="23" t="s">
        <v>50</v>
      </c>
      <c r="U24" s="26" t="s">
        <v>50</v>
      </c>
      <c r="V24" s="35" t="s">
        <v>50</v>
      </c>
      <c r="W24" s="6"/>
      <c r="X24" s="2"/>
      <c r="Y24" s="2"/>
      <c r="Z24" s="2"/>
      <c r="AA24" s="7"/>
      <c r="AB24" s="287">
        <v>1</v>
      </c>
      <c r="AD24" t="s">
        <v>246</v>
      </c>
    </row>
    <row r="25" spans="1:44" ht="16.5" customHeight="1" x14ac:dyDescent="0.35">
      <c r="A25" s="19" t="s">
        <v>27</v>
      </c>
      <c r="B25" s="206" t="s">
        <v>231</v>
      </c>
      <c r="C25" s="6"/>
      <c r="D25" s="2"/>
      <c r="E25" s="2"/>
      <c r="F25" s="2"/>
      <c r="G25" s="7"/>
      <c r="H25" s="36" t="s">
        <v>51</v>
      </c>
      <c r="I25" s="40"/>
      <c r="J25" s="42" t="s">
        <v>51</v>
      </c>
      <c r="K25" s="42" t="s">
        <v>51</v>
      </c>
      <c r="L25" s="39"/>
      <c r="M25" s="37"/>
      <c r="N25" s="38"/>
      <c r="O25" s="38"/>
      <c r="P25" s="38"/>
      <c r="Q25" s="39"/>
      <c r="R25" s="37"/>
      <c r="S25" s="38"/>
      <c r="T25" s="38"/>
      <c r="U25" s="38"/>
      <c r="V25" s="39"/>
      <c r="W25" s="32"/>
      <c r="X25" s="41"/>
      <c r="Y25" s="41"/>
      <c r="Z25" s="2"/>
      <c r="AA25" s="7"/>
      <c r="AB25" s="287">
        <v>0.5</v>
      </c>
      <c r="AD25" t="s">
        <v>247</v>
      </c>
    </row>
    <row r="26" spans="1:44" ht="16.5" customHeight="1" x14ac:dyDescent="0.35">
      <c r="A26" s="19" t="s">
        <v>12</v>
      </c>
      <c r="B26" s="206" t="s">
        <v>231</v>
      </c>
      <c r="C26" s="19" t="s">
        <v>51</v>
      </c>
      <c r="D26" s="2"/>
      <c r="E26" s="42" t="s">
        <v>51</v>
      </c>
      <c r="F26" s="2"/>
      <c r="G26" s="7"/>
      <c r="H26" s="37"/>
      <c r="I26" s="38"/>
      <c r="J26" s="97"/>
      <c r="K26" s="38"/>
      <c r="L26" s="39"/>
      <c r="M26" s="36" t="s">
        <v>51</v>
      </c>
      <c r="N26" s="38"/>
      <c r="O26" s="38"/>
      <c r="P26" s="38"/>
      <c r="Q26" s="39"/>
      <c r="R26" s="37"/>
      <c r="S26" s="38"/>
      <c r="T26" s="42" t="s">
        <v>51</v>
      </c>
      <c r="U26" s="38"/>
      <c r="V26" s="39"/>
      <c r="W26" s="32"/>
      <c r="X26" s="41"/>
      <c r="Y26" s="41"/>
      <c r="Z26" s="2"/>
      <c r="AA26" s="7"/>
      <c r="AB26" s="287">
        <v>0.5</v>
      </c>
      <c r="AD26" t="s">
        <v>248</v>
      </c>
    </row>
    <row r="27" spans="1:44" ht="16.5" customHeight="1" x14ac:dyDescent="0.35">
      <c r="A27" s="67" t="s">
        <v>11</v>
      </c>
      <c r="B27" s="206" t="s">
        <v>6</v>
      </c>
      <c r="C27" s="6"/>
      <c r="D27" s="2"/>
      <c r="E27" s="2"/>
      <c r="F27" s="2"/>
      <c r="G27" s="7"/>
      <c r="H27" s="70" t="s">
        <v>53</v>
      </c>
      <c r="I27" s="74"/>
      <c r="J27" s="74"/>
      <c r="K27" s="74"/>
      <c r="L27" s="75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</row>
    <row r="28" spans="1:44" ht="16.5" customHeight="1" x14ac:dyDescent="0.35">
      <c r="A28" s="67" t="s">
        <v>12</v>
      </c>
      <c r="B28" s="206" t="s">
        <v>6</v>
      </c>
      <c r="C28" s="6"/>
      <c r="D28" s="2"/>
      <c r="E28" s="2"/>
      <c r="F28" s="2"/>
      <c r="G28" s="7"/>
      <c r="H28" s="37"/>
      <c r="I28" s="38"/>
      <c r="J28" s="38"/>
      <c r="K28" s="38"/>
      <c r="L28" s="39"/>
      <c r="M28" s="37"/>
      <c r="N28" s="38"/>
      <c r="O28" s="38"/>
      <c r="P28" s="38"/>
      <c r="Q28" s="39"/>
      <c r="R28" s="70" t="s">
        <v>53</v>
      </c>
      <c r="S28" s="71" t="s">
        <v>53</v>
      </c>
      <c r="T28" s="71" t="s">
        <v>53</v>
      </c>
      <c r="U28" s="71" t="s">
        <v>53</v>
      </c>
      <c r="V28" s="39"/>
      <c r="W28" s="32"/>
      <c r="X28" s="41"/>
      <c r="Y28" s="41"/>
      <c r="Z28" s="2"/>
      <c r="AA28" s="7"/>
      <c r="AB28" s="287">
        <v>0.75</v>
      </c>
    </row>
    <row r="29" spans="1:44" ht="16.5" customHeight="1" x14ac:dyDescent="0.35">
      <c r="A29" s="67" t="s">
        <v>12</v>
      </c>
      <c r="B29" s="206" t="s">
        <v>232</v>
      </c>
      <c r="C29" s="67" t="s">
        <v>53</v>
      </c>
      <c r="D29" s="68" t="s">
        <v>53</v>
      </c>
      <c r="E29" s="68" t="s">
        <v>53</v>
      </c>
      <c r="F29" s="68" t="s">
        <v>53</v>
      </c>
      <c r="G29" s="69" t="s">
        <v>53</v>
      </c>
      <c r="H29" s="37"/>
      <c r="I29" s="38"/>
      <c r="J29" s="38"/>
      <c r="K29" s="38"/>
      <c r="L29" s="39"/>
      <c r="M29" s="70" t="s">
        <v>53</v>
      </c>
      <c r="N29" s="71" t="s">
        <v>53</v>
      </c>
      <c r="O29" s="71" t="s">
        <v>53</v>
      </c>
      <c r="P29" s="71" t="s">
        <v>53</v>
      </c>
      <c r="Q29" s="72" t="s">
        <v>53</v>
      </c>
      <c r="R29" s="37"/>
      <c r="S29" s="38"/>
      <c r="T29" s="38"/>
      <c r="U29" s="38"/>
      <c r="V29" s="39"/>
      <c r="W29" s="32"/>
      <c r="X29" s="41"/>
      <c r="Y29" s="41"/>
      <c r="Z29" s="2"/>
      <c r="AA29" s="7"/>
      <c r="AB29" s="287">
        <v>1</v>
      </c>
    </row>
    <row r="30" spans="1:44" ht="16.5" customHeight="1" x14ac:dyDescent="0.35">
      <c r="A30" s="67" t="s">
        <v>29</v>
      </c>
      <c r="B30" s="206" t="s">
        <v>233</v>
      </c>
      <c r="C30" s="6"/>
      <c r="D30" s="2"/>
      <c r="E30" s="2"/>
      <c r="F30" s="2"/>
      <c r="G30" s="7"/>
      <c r="H30" s="37"/>
      <c r="I30" s="38"/>
      <c r="J30" s="38"/>
      <c r="K30" s="38"/>
      <c r="L30" s="39"/>
      <c r="M30" s="37"/>
      <c r="N30" s="38"/>
      <c r="O30" s="38"/>
      <c r="P30" s="38"/>
      <c r="Q30" s="39"/>
      <c r="R30" s="70" t="s">
        <v>53</v>
      </c>
      <c r="S30" s="71" t="s">
        <v>53</v>
      </c>
      <c r="T30" s="71" t="s">
        <v>53</v>
      </c>
      <c r="U30" s="71" t="s">
        <v>53</v>
      </c>
      <c r="V30" s="72" t="s">
        <v>53</v>
      </c>
      <c r="W30" s="32"/>
      <c r="X30" s="41"/>
      <c r="Y30" s="41"/>
      <c r="Z30" s="2"/>
      <c r="AA30" s="7"/>
      <c r="AB30" s="287">
        <v>1</v>
      </c>
      <c r="AR30" s="292"/>
    </row>
    <row r="31" spans="1:44" ht="16.5" customHeight="1" x14ac:dyDescent="0.35">
      <c r="A31" s="67" t="s">
        <v>14</v>
      </c>
      <c r="B31" s="206" t="s">
        <v>234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32"/>
      <c r="X31" s="76" t="s">
        <v>53</v>
      </c>
      <c r="Y31" s="76"/>
      <c r="Z31" s="41"/>
      <c r="AA31" s="44"/>
      <c r="AB31" s="288">
        <v>0.5</v>
      </c>
      <c r="AR31" s="292"/>
    </row>
    <row r="32" spans="1:44" ht="16.5" customHeight="1" x14ac:dyDescent="0.35">
      <c r="A32" s="14" t="s">
        <v>11</v>
      </c>
      <c r="B32" s="206" t="s">
        <v>235</v>
      </c>
      <c r="C32" s="6"/>
      <c r="D32" s="2"/>
      <c r="E32" s="2"/>
      <c r="F32" s="2"/>
      <c r="G32" s="7"/>
      <c r="H32" s="6"/>
      <c r="I32" s="2"/>
      <c r="J32" s="2"/>
      <c r="K32" s="2"/>
      <c r="L32" s="7"/>
      <c r="M32" s="6"/>
      <c r="N32" s="2"/>
      <c r="O32" s="2"/>
      <c r="P32" s="2"/>
      <c r="Q32" s="7"/>
      <c r="R32" s="6"/>
      <c r="S32" s="2"/>
      <c r="T32" s="2"/>
      <c r="U32" s="2"/>
      <c r="V32" s="7"/>
      <c r="W32" s="6"/>
      <c r="X32" s="15" t="s">
        <v>49</v>
      </c>
      <c r="Y32" s="2"/>
      <c r="Z32" s="15" t="s">
        <v>49</v>
      </c>
      <c r="AA32" s="7"/>
      <c r="AB32" s="287">
        <v>0.5</v>
      </c>
      <c r="AR32" s="292"/>
    </row>
    <row r="33" spans="1:44" ht="16.5" customHeight="1" x14ac:dyDescent="0.35">
      <c r="A33" s="14" t="s">
        <v>11</v>
      </c>
      <c r="B33" s="206" t="s">
        <v>8</v>
      </c>
      <c r="C33" s="6"/>
      <c r="D33" s="2"/>
      <c r="E33" s="2"/>
      <c r="F33" s="2"/>
      <c r="G33" s="7"/>
      <c r="H33" s="14" t="s">
        <v>49</v>
      </c>
      <c r="I33" s="15" t="s">
        <v>49</v>
      </c>
      <c r="J33" s="15" t="s">
        <v>49</v>
      </c>
      <c r="K33" s="15" t="s">
        <v>49</v>
      </c>
      <c r="L33" s="16" t="s">
        <v>49</v>
      </c>
      <c r="M33" s="14" t="s">
        <v>49</v>
      </c>
      <c r="N33" s="15" t="s">
        <v>49</v>
      </c>
      <c r="O33" s="15" t="s">
        <v>49</v>
      </c>
      <c r="P33" s="15" t="s">
        <v>49</v>
      </c>
      <c r="Q33" s="16" t="s">
        <v>49</v>
      </c>
      <c r="R33" s="14" t="s">
        <v>49</v>
      </c>
      <c r="S33" s="15" t="s">
        <v>49</v>
      </c>
      <c r="T33" s="15" t="s">
        <v>49</v>
      </c>
      <c r="U33" s="15" t="s">
        <v>49</v>
      </c>
      <c r="V33" s="16" t="s">
        <v>49</v>
      </c>
      <c r="W33" s="6"/>
      <c r="X33" s="2"/>
      <c r="Y33" s="2"/>
      <c r="Z33" s="2"/>
      <c r="AA33" s="7"/>
      <c r="AB33" s="287">
        <v>0.75</v>
      </c>
      <c r="AR33" s="292"/>
    </row>
    <row r="34" spans="1:44" ht="16.5" customHeight="1" thickBot="1" x14ac:dyDescent="0.4">
      <c r="A34" s="256" t="s">
        <v>12</v>
      </c>
      <c r="B34" s="257" t="s">
        <v>8</v>
      </c>
      <c r="C34" s="10"/>
      <c r="D34" s="11"/>
      <c r="E34" s="11"/>
      <c r="F34" s="11"/>
      <c r="G34" s="12"/>
      <c r="H34" s="256" t="s">
        <v>49</v>
      </c>
      <c r="I34" s="11"/>
      <c r="J34" s="11"/>
      <c r="K34" s="11"/>
      <c r="L34" s="12"/>
      <c r="M34" s="10"/>
      <c r="N34" s="11"/>
      <c r="O34" s="11"/>
      <c r="P34" s="11"/>
      <c r="Q34" s="12"/>
      <c r="R34" s="10"/>
      <c r="S34" s="11"/>
      <c r="T34" s="254" t="s">
        <v>49</v>
      </c>
      <c r="U34" s="255"/>
      <c r="V34" s="12"/>
      <c r="W34" s="10"/>
      <c r="X34" s="11"/>
      <c r="Y34" s="11"/>
      <c r="Z34" s="11"/>
      <c r="AA34" s="12"/>
      <c r="AB34" s="287">
        <v>0.75</v>
      </c>
    </row>
    <row r="49" spans="30:43" x14ac:dyDescent="0.35">
      <c r="AK49" s="292"/>
    </row>
    <row r="50" spans="30:43" x14ac:dyDescent="0.35"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</row>
    <row r="51" spans="30:43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</row>
    <row r="52" spans="30:43" ht="15.5" x14ac:dyDescent="0.35">
      <c r="AD52" s="293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</row>
    <row r="53" spans="30:43" x14ac:dyDescent="0.35">
      <c r="AD53" s="292"/>
      <c r="AE53" s="292"/>
      <c r="AF53" s="292"/>
      <c r="AG53" s="292"/>
      <c r="AH53" s="292"/>
      <c r="AI53" s="292"/>
      <c r="AJ53" s="292"/>
      <c r="AL53" s="292"/>
      <c r="AM53" s="292"/>
      <c r="AN53" s="292"/>
      <c r="AO53" s="292"/>
      <c r="AP53" s="292"/>
      <c r="AQ53" s="292"/>
    </row>
  </sheetData>
  <conditionalFormatting sqref="AI10:AJ10 AL10:AR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2"/>
  <sheetViews>
    <sheetView topLeftCell="B1" zoomScale="65" zoomScaleNormal="70" workbookViewId="0">
      <selection activeCell="C44" sqref="C44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43" customWidth="1"/>
  </cols>
  <sheetData>
    <row r="1" spans="1:43" ht="29" thickBot="1" x14ac:dyDescent="0.4">
      <c r="B1" s="66" t="s">
        <v>264</v>
      </c>
      <c r="AF1" t="s">
        <v>251</v>
      </c>
      <c r="AG1" t="s">
        <v>102</v>
      </c>
      <c r="AH1" t="s">
        <v>99</v>
      </c>
      <c r="AI1" t="s">
        <v>45</v>
      </c>
      <c r="AJ1" t="s">
        <v>272</v>
      </c>
      <c r="AK1" t="s">
        <v>44</v>
      </c>
      <c r="AL1" t="s">
        <v>97</v>
      </c>
      <c r="AM1" t="s">
        <v>273</v>
      </c>
      <c r="AN1" t="s">
        <v>46</v>
      </c>
      <c r="AO1" t="s">
        <v>98</v>
      </c>
      <c r="AP1" t="s">
        <v>47</v>
      </c>
      <c r="AQ1" t="s">
        <v>31</v>
      </c>
    </row>
    <row r="2" spans="1:43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308"/>
      <c r="AE2" s="319" t="s">
        <v>253</v>
      </c>
      <c r="AF2" s="134" t="s">
        <v>251</v>
      </c>
      <c r="AG2" s="134" t="s">
        <v>102</v>
      </c>
      <c r="AH2" s="106" t="s">
        <v>48</v>
      </c>
      <c r="AI2" s="107" t="s">
        <v>50</v>
      </c>
      <c r="AJ2" s="353" t="s">
        <v>269</v>
      </c>
      <c r="AK2" s="108" t="s">
        <v>49</v>
      </c>
      <c r="AL2" s="170" t="s">
        <v>33</v>
      </c>
      <c r="AM2" s="170" t="s">
        <v>274</v>
      </c>
      <c r="AN2" s="104" t="s">
        <v>53</v>
      </c>
      <c r="AO2" s="186" t="s">
        <v>216</v>
      </c>
      <c r="AP2" s="188" t="s">
        <v>51</v>
      </c>
      <c r="AQ2" s="190" t="s">
        <v>31</v>
      </c>
    </row>
    <row r="3" spans="1:43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309" t="s">
        <v>100</v>
      </c>
      <c r="AE3" s="320">
        <v>39</v>
      </c>
      <c r="AF3" s="127">
        <v>1</v>
      </c>
      <c r="AG3" s="127">
        <v>5</v>
      </c>
      <c r="AH3" s="110">
        <v>8</v>
      </c>
      <c r="AI3" s="111">
        <v>7</v>
      </c>
      <c r="AJ3" s="354">
        <v>1</v>
      </c>
      <c r="AK3" s="112">
        <v>6</v>
      </c>
      <c r="AL3" s="113">
        <v>4</v>
      </c>
      <c r="AM3" s="113">
        <v>1</v>
      </c>
      <c r="AN3" s="114">
        <v>4</v>
      </c>
      <c r="AO3" s="187">
        <v>2</v>
      </c>
      <c r="AP3" s="189">
        <v>2</v>
      </c>
      <c r="AQ3" s="191">
        <v>1</v>
      </c>
    </row>
    <row r="4" spans="1:43" ht="18.75" customHeight="1" x14ac:dyDescent="0.35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0" t="s">
        <v>101</v>
      </c>
      <c r="AE4" s="321">
        <v>33</v>
      </c>
      <c r="AF4" s="289">
        <v>1</v>
      </c>
      <c r="AG4" s="289"/>
      <c r="AH4" s="290">
        <v>8</v>
      </c>
      <c r="AI4" s="290">
        <v>7</v>
      </c>
      <c r="AJ4" s="290">
        <v>1</v>
      </c>
      <c r="AK4" s="290">
        <v>6</v>
      </c>
      <c r="AL4" s="290">
        <v>4</v>
      </c>
      <c r="AM4" s="290">
        <v>1</v>
      </c>
      <c r="AN4" s="290">
        <v>4</v>
      </c>
      <c r="AO4" s="291">
        <v>2</v>
      </c>
      <c r="AP4" s="291">
        <v>2</v>
      </c>
      <c r="AQ4" s="290">
        <v>1</v>
      </c>
    </row>
    <row r="5" spans="1:43" ht="18.75" customHeight="1" x14ac:dyDescent="0.35">
      <c r="A5" s="271" t="s">
        <v>11</v>
      </c>
      <c r="B5" s="356" t="s">
        <v>237</v>
      </c>
      <c r="C5" s="251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58"/>
      <c r="O5" s="58"/>
      <c r="P5" s="58"/>
      <c r="Q5" s="61"/>
      <c r="R5" s="59"/>
      <c r="S5" s="58"/>
      <c r="T5" s="58"/>
      <c r="U5" s="58"/>
      <c r="V5" s="61"/>
      <c r="W5" s="59"/>
      <c r="X5" s="58"/>
      <c r="Y5" s="58"/>
      <c r="Z5" s="58"/>
      <c r="AA5" s="61"/>
      <c r="AB5" s="287">
        <v>1.5</v>
      </c>
      <c r="AD5" s="310" t="s">
        <v>254</v>
      </c>
      <c r="AE5" s="321">
        <f>(AE3-7)*25</f>
        <v>800</v>
      </c>
      <c r="AF5" s="304">
        <f t="shared" ref="AF5:AP5" si="0">AF3*25</f>
        <v>25</v>
      </c>
      <c r="AG5" s="304">
        <f t="shared" si="0"/>
        <v>125</v>
      </c>
      <c r="AH5" s="304">
        <f t="shared" si="0"/>
        <v>200</v>
      </c>
      <c r="AI5" s="304">
        <f t="shared" si="0"/>
        <v>175</v>
      </c>
      <c r="AJ5" s="304">
        <f t="shared" si="0"/>
        <v>25</v>
      </c>
      <c r="AK5" s="304">
        <f t="shared" si="0"/>
        <v>150</v>
      </c>
      <c r="AL5" s="304">
        <f t="shared" si="0"/>
        <v>100</v>
      </c>
      <c r="AM5" s="304">
        <f t="shared" si="0"/>
        <v>25</v>
      </c>
      <c r="AN5" s="304">
        <f t="shared" si="0"/>
        <v>100</v>
      </c>
      <c r="AO5" s="304">
        <f t="shared" si="0"/>
        <v>50</v>
      </c>
      <c r="AP5" s="304">
        <f t="shared" si="0"/>
        <v>50</v>
      </c>
      <c r="AQ5" s="304">
        <f>AQ3*25</f>
        <v>25</v>
      </c>
    </row>
    <row r="6" spans="1:43" ht="18.75" customHeight="1" x14ac:dyDescent="0.35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397" t="s">
        <v>33</v>
      </c>
      <c r="X6" s="392"/>
      <c r="Y6" s="393" t="s">
        <v>33</v>
      </c>
      <c r="Z6" s="393" t="s">
        <v>33</v>
      </c>
      <c r="AA6" s="394" t="s">
        <v>33</v>
      </c>
      <c r="AB6" s="287">
        <v>1</v>
      </c>
      <c r="AD6" s="311"/>
      <c r="AE6" s="322"/>
      <c r="AF6" s="130"/>
      <c r="AG6" s="130"/>
      <c r="AH6" s="120"/>
      <c r="AI6" s="120"/>
      <c r="AJ6" s="120"/>
      <c r="AK6" s="120"/>
      <c r="AL6" s="120"/>
      <c r="AM6" s="120"/>
      <c r="AN6" s="120"/>
      <c r="AO6" s="185"/>
      <c r="AP6" s="185"/>
      <c r="AQ6" s="120"/>
    </row>
    <row r="7" spans="1:43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" t="s">
        <v>48</v>
      </c>
      <c r="L7" s="1"/>
      <c r="M7" s="390" t="s">
        <v>48</v>
      </c>
      <c r="N7" s="4" t="s">
        <v>48</v>
      </c>
      <c r="O7" s="391" t="s">
        <v>48</v>
      </c>
      <c r="P7" s="391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312" t="s">
        <v>61</v>
      </c>
      <c r="AE7" s="323">
        <v>156</v>
      </c>
      <c r="AF7" s="315">
        <f>(COUNTIF($C$4:$AA$33,$AF$2))</f>
        <v>0</v>
      </c>
      <c r="AG7" s="306"/>
      <c r="AH7" s="306">
        <f>(COUNTIF($C$4:$AA$33,$AH$2))</f>
        <v>50</v>
      </c>
      <c r="AI7" s="306">
        <f>(COUNTIF($C$4:$AA$33,$AI$2))</f>
        <v>52</v>
      </c>
      <c r="AJ7" s="315">
        <f>(COUNTIF($C$4:$AA$33,$AJ$2))</f>
        <v>6</v>
      </c>
      <c r="AK7" s="306">
        <f>(COUNTIF($C$4:$AA$33,$AK$2))</f>
        <v>40</v>
      </c>
      <c r="AL7" s="306">
        <f>(COUNTIF($C$4:$AA$33,$AL$2))</f>
        <v>17</v>
      </c>
      <c r="AM7" s="315">
        <f>(COUNTIF($C$4:$AA$33,$AM$2))</f>
        <v>2</v>
      </c>
      <c r="AN7" s="306">
        <f>(COUNTIF($C$4:$AA$33,$AN$2))</f>
        <v>29</v>
      </c>
      <c r="AO7" s="306">
        <f>(COUNTIF($C$4:$AA$33,$AO$2))</f>
        <v>4</v>
      </c>
      <c r="AP7" s="306">
        <f>(COUNTIF($C$4:$AA$33,$AP$2))</f>
        <v>7</v>
      </c>
      <c r="AQ7" s="306">
        <f>(COUNTIF($C$4:$AA$33,"SG"))</f>
        <v>1</v>
      </c>
    </row>
    <row r="8" spans="1:43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22" t="s">
        <v>50</v>
      </c>
      <c r="I8" s="23" t="s">
        <v>50</v>
      </c>
      <c r="J8" s="23" t="s">
        <v>50</v>
      </c>
      <c r="K8" s="23" t="s">
        <v>50</v>
      </c>
      <c r="L8" s="24" t="s">
        <v>50</v>
      </c>
      <c r="M8" s="30"/>
      <c r="N8" s="264" t="s">
        <v>269</v>
      </c>
      <c r="O8" s="31"/>
      <c r="P8" s="31"/>
      <c r="Q8" s="250"/>
      <c r="R8" s="379" t="s">
        <v>50</v>
      </c>
      <c r="S8" s="380" t="s">
        <v>50</v>
      </c>
      <c r="T8" s="380" t="s">
        <v>50</v>
      </c>
      <c r="U8" s="380" t="s">
        <v>50</v>
      </c>
      <c r="V8" s="381" t="s">
        <v>50</v>
      </c>
      <c r="W8" s="6"/>
      <c r="X8" s="2"/>
      <c r="Y8" s="2"/>
      <c r="Z8" s="2"/>
      <c r="AA8" s="7"/>
      <c r="AB8" s="287">
        <v>1</v>
      </c>
      <c r="AD8" s="312" t="s">
        <v>249</v>
      </c>
      <c r="AE8" s="324">
        <f>AH8+AI8+AK8+AL8+AN8+AP8+AF8+AO8+AQ8</f>
        <v>208.25</v>
      </c>
      <c r="AF8" s="316">
        <f>COUNTIF($C$4:$AA$4,$AF$2)*$AB$4+COUNTIF($C$5:$AA$5,$AF$2)*$AB$5+COUNTIF($C$6:$AA$6,$AF$2)*$AB$6+COUNTIF($C$7:$AA$7,$AF$2)*$AB$7+COUNTIF($C$8:$AA$8,$AF$2)*$AB$8+COUNTIF($C$9:$AA$9,$AF$2)*$AB$9+COUNTIF($C$10:$AA$10,$AF$2)*$AB$10+COUNTIF($C$11:$AA$11,$AF$2)*$AB$11+COUNTIF($C$12:$AA$12,$AF$2)*$AB$12+COUNTIF($C$13:$AA$13,$AF$2)*$AB$13+COUNTIF($C$14:$AA$14,$AF$2)*$AB$14+COUNTIF($C$15:$AA$15,$AF$2)*$AB$15+COUNTIF($C$16:$AA$16,$AF$2)*$AB$16+COUNTIF($C$17:$AA$17,$AF$2)*$AB$17+COUNTIF($C$18:$AA$18,$AF$2)*$AB$18+COUNTIF($C$19:$AA$19,$AF$2)*$AB$19+COUNTIF($C$20:$AA$20,$AF$2)*$AB$20+COUNTIF($C$21:$AA$21,$AF$2)*$AB$21+COUNTIF($C$22:$AA$22,$AF$2)*$AB$22+COUNTIF($C$23:$AA$23,$AF$2)*$AB$23+COUNTIF($C$24:$AA$24,$AF$2)*$AB$24+COUNTIF($C$25:$AA$25,$AF$2)*$AB$25+COUNTIF($C$26:$AA$26,$AF$2)*$AB$26+COUNTIF($C$27:$AA$27,$AF$2)*$AB$27+COUNTIF($C$28:$AA$28,$AF$2)*$AB$28+COUNTIF($C$29:$AA$29,$AF$2)*$AB$29+COUNTIF($C$30:$AA$30,$AF$2)*$AB$30+COUNTIF($C$31:$AA$31,$AF$2)*$AB$31+COUNTIF($C$32:$AA$32,$AF$2)*$AB$32+COUNTIF($C$33:$AA$33,$AF$2)*$AB$33</f>
        <v>0</v>
      </c>
      <c r="AG8" s="295">
        <f>4+4+4.25+7.125+3.25</f>
        <v>22.625</v>
      </c>
      <c r="AH8" s="295">
        <f>COUNTIF($C$4:$AA$4,$AH$2)*$AB$4+COUNTIF($C$5:$AA$5,$AH$2)*$AB$5+COUNTIF($C$6:$AA$6,$AH$2)*$AB$6+COUNTIF($C$7:$AA$7,$AH$2)*$AB$7+COUNTIF($H$8:$AA$8,$AH$2)*$AB$8+COUNTIF($C$9:$AA$9,$AH$2)*$AB$9+COUNTIF($C$10:$AA$10,$AH$2)*$AB$10+COUNTIF($C$11:$AA$11,$AH$2)*$AB$11+COUNTIF($C$12:$AA$12,$AH$2)*$AB$12+COUNTIF($D$13:$AA$13,$AH$2)*$AB$13+COUNTIF($C$14:$AA$14,$AH$2)*$AB$14+COUNTIF($C$15:$AA$15,$AH$2)*$AB$15+COUNTIF($C$16:$AA$16,$AH$2)*$AB$16+COUNTIF($C$17:$AA$17,$AH$2)*$AB$17+COUNTIF($D$18:$AA$18,$AH$2)*$AB$18+COUNTIF($C$19:$AA$19,$AH$2)*$AB$19+COUNTIF($C$20:$AA$20,$AH$2)*$AB$20+COUNTIF($C$21:$AA$21,$AH$2)*$AB$21+COUNTIF($C$22:$AA$22,$AH$2)*$AB$22+COUNTIF($C$23:$AA$23,$AH$2)*$AB$23+COUNTIF($C$24:$AA$24,$AH$2)*$AB$24+COUNTIF($C$25:$AA$25,$AH$2)*$AB$25+COUNTIF($C$26:$AA$26,$AH$2)*$AB$26+COUNTIF($C$27:$AA$27,$AH$2)*$AB$27+COUNTIF($C$28:$AA$28,$AH$2)*$AB$28+COUNTIF($C$29:$AA$29,$AH$2)*$AB$29+COUNTIF($C$30:$AA$30,$AH$2)*$AB$30+COUNTIF($C$31:$AA$31,$AH$2)*$AB$31+COUNTIF($C$32:$AA$32,$AH$2)*$AB$32+COUNTIF($C$33:$AA$33,$AH$2)*$AB$33</f>
        <v>54</v>
      </c>
      <c r="AI8" s="295">
        <f>COUNTIF($C$4:$AA$4,$AI$2)*$AB$4+COUNTIF($C$5:$AA$5,$AI$2)*$AB$5+COUNTIF($C$6:$AA$6,$AI$2)*$AB$6+COUNTIF($C$7:$AA$7,$AI$2)*$AB$7+COUNTIF($H$8:$AA$8,$AI$2)*$AB$8+COUNTIF($C$9:$AA$9,$AI$2)*$AB$9+COUNTIF($C$10:$AA$10,$AI$2)*0.5*$AB$10+COUNTIF($C$11:$AA$11,$AI$2)*$AB$11+COUNTIF($C$12:$AA$12,$AI$2)*$AB$12+COUNTIF($D$13:$AA$13,$AI$2)*$AB$13+COUNTIF($C$14:$AA$14,$AI$2)*$AB$14+COUNTIF($C$15:$AA$15,$AI$2)*$AB$15+COUNTIF($C$16:$AA$16,$AI$2)*$AB$16+COUNTIF($C$17:$AA$17,$AI$2)*$AB$17+COUNTIF($D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</f>
        <v>51</v>
      </c>
      <c r="AJ8" s="295">
        <f>COUNTIF($C$4:$AA$4,$AJ$2)*$AB$4+COUNTIF($C$5:$AA$5,$AJ$2)*$AB$5+COUNTIF($C$6:$AA$6,$AJ$2)*$AB$6+COUNTIF($C$7:$AA$7,$AJ$2)*$AB$7+COUNTIF($H$8:$AA$8,$AJ$2)*$AB$8+COUNTIF($C$9:$AA$9,$AJ$2)*$AB$9+COUNTIF($C$10:$AA$10,$AJ$2)*0.5*$AB$10+COUNTIF($C$11:$AA$11,$AJ$2)*$AB$11+COUNTIF($C$12:$AA$12,$AJ$2)*$AB$12+COUNTIF($D$13:$AA$13,$AJ$2)*$AB$13+COUNTIF($C$14:$AA$14,$AJ$2)*$AB$14+COUNTIF($C$15:$AA$15,$AJ$2)*$AB$15+COUNTIF($C$16:$AA$16,$AJ$2)*$AB$16+COUNTIF($C$17:$AA$17,$AJ$2)*$AB$17+COUNTIF($D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</f>
        <v>7.75</v>
      </c>
      <c r="AK8" s="295">
        <f>COUNTIF($C$4:$AA$4,$AK$2)*$AB$4+COUNTIF($C$5:$AA$5,$AK$2)*$AB$5+COUNTIF($C$6:$AA$6,$AK$2)*$AB$6+COUNTIF($C$7:$AA$7,$AK$2)*$AB$7+COUNTIF($H$8:$AA$8,$AK$2)*$AB$8+COUNTIF($C$9:$AA$9,$AK$2)*$AB$9+COUNTIF($C$10:$AA$10,$AK$2)*$AB$10+COUNTIF($C$11:$AA$11,$AK$2)*$AB$11+COUNTIF($C$12:$AA$12,$AK$2)*$AB$12+COUNTIF($D$13:$AA$13,$AK$2)*$AB$13+COUNTIF($C$14:$AA$14,$AK$2)*$AB$14+COUNTIF($C$15:$AA$15,$AK$2)*$AB$15+COUNTIF($C$16:$AA$16,$AK$2)*$AB$16+COUNTIF($C$17:$AA$17,$AK$2)*$AB$17+COUNTIF($D$18:$AA$18,$AK$2)*$AB$18+COUNTIF($C$19:$AA$19,$AK$2)*$AB$19+COUNTIF($C$20:$AA$20,$AK$2)*$AB$20+COUNTIF($C$21:$AA$21,$AK$2)*$AB$21+COUNTIF($C$22:$AA$22,$AK$2)*$AB$22+COUNTIF($C$23:$AA$23,$AK$2)*$AB$23+COUNTIF($C$24:$AA$24,$AK$2)*$AB$24+COUNTIF($C$25:$AA$25,$AK$2)*$AB$25+COUNTIF($C$26:$AA$26,$AK$2)*$AB$26+COUNTIF($C$27:$AA$27,$AK$2)*$AB$27+COUNTIF($C$28:$AA$28,$AK$2)*$AB$28+COUNTIF($C$29:$AA$29,$AK$2)*$AB$29+COUNTIF($C$30:$AA$30,$AK$2)*$AB$30+COUNTIF($C$31:$AA$31,$AK$2)*$AB$31+COUNTIF($C$32:$AA$32,$AK$2)*$AB$32+COUNTIF($C$33:$AA$33,$AK$2)*$AB$33</f>
        <v>43</v>
      </c>
      <c r="AL8" s="295">
        <f>COUNTIF($C$4:$AA$4,$AL$2)*$AB$4+COUNTIF($C$5:$AA$5,$AL$2)*$AB$5+COUNTIF($C$6:$AA$6,$AL$2)*$AB$6+COUNTIF($C$7:$AA$7,$AL$2)*$AB$7+COUNTIF($H$8:$AA$8,$AL$2)*$AB$8+COUNTIF($C$9:$AA$9,$AL$2)*$AB$9+COUNTIF($C$10:$AA$10,$AL$2)*$AB$10+COUNTIF($C$11:$AA$11,$AL$2)*$AB$11+COUNTIF($C$12:$AA$12,$AL$2)*$AB$12+COUNTIF($D$13:$AA$13,$AL$2)*$AB$13+COUNTIF($C$14:$AA$14,$AL$2)*$AB$14+COUNTIF($C$15:$AA$15,$AL$2)*$AB$15+COUNTIF($C$16:$AA$16,$AL$2)*$AB$16+COUNTIF($C$17:$AA$17,$AL$2)*$AB$17+COUNTIF($D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$30+COUNTIF($C$31:$AA$31,$AL$2)*$AB$31+COUNTIF($C$32:$AA$32,$AL$2)*$AB$32+COUNTIF($C$33:$AA$33,$AL$2)*$AB$33</f>
        <v>23.25</v>
      </c>
      <c r="AM8" s="295">
        <f>COUNTIF($C$4:$AA$4,$AM$2)*$AB$4+COUNTIF($C$5:$AA$5,$AM$2)*$AB$5+COUNTIF($C$6:$AA$6,$AM$2)*$AB$6+COUNTIF($C$7:$AA$7,$AM$2)*$AB$7+COUNTIF($H$8:$AA$8,$AM$2)*$AB$8+COUNTIF($C$9:$AA$9,$AM$2)*$AB$9+COUNTIF($C$10:$AA$10,$AM$2)*0.5*$AB$10+COUNTIF($C$11:$AA$11,$AM$2)*$AB$11+COUNTIF($C$12:$AA$12,$AM$2)*$AB$12+COUNTIF($D$13:$AA$13,$AM$2)*$AB$13+COUNTIF($C$14:$AA$14,$AM$2)*$AB$14+COUNTIF($C$15:$AA$15,$AM$2)*$AB$15+COUNTIF($C$16:$AA$16,$AM$2)*$AB$16+COUNTIF($C$17:$AA$17,$AM$2)*$AB$17+COUNTIF($D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</f>
        <v>3</v>
      </c>
      <c r="AN8" s="295">
        <f>COUNTIF($C$4:$AA$4,$AN$2)*$AB$4+COUNTIF($C$5:$AA$5,$AN$2)*$AB$5+COUNTIF($C$6:$AA$6,$AN$2)*$AB$6+COUNTIF($C$7:$AA$7,$AN$2)*$AB$7+COUNTIF($H$8:$AA$8,$AN$2)*$AB$8+COUNTIF($C$9:$AA$9,$AN$2)*$AB$9+COUNTIF($C$10:$AA$10,$AN$2)*$AB$10+COUNTIF($C$11:$AA$11,$AN$2)*$AB$11+COUNTIF($C$12:$AA$12,$AN$2)*$AB$12+COUNTIF($D$13:$AA$13,$AN$2)*$AB$13+COUNTIF($C$14:$AA$14,$AN$2)*$AB$14+COUNTIF($C$15:$AA$15,$AN$2)*$AB$15+COUNTIF($C$16:$AA$16,$AN$2)*$AB$16+COUNTIF($C$17:$AA$17,$AN$2)*$AB$17+COUNTIF($D$18:$AA$18,$AN$2)*$AB$18+COUNTIF($C$19:$AA$19,$AN$2)*$AB$19+COUNTIF($C$20:$AA$20,$AN$2)*$AB$20+COUNTIF($C$21:$AA$21,$AN$2)*$AB$21+COUNTIF($C$22:$AA$22,$AN$2)*$AB$22+COUNTIF($C$23:$AA$23,$AN$2)*$AB$23+COUNTIF($C$24:$AA$24,$AN$2)*$AB$24+COUNTIF($C$25:$AA$25,$AN$2)*$AB$25+COUNTIF($C$26:$AA$26,$AN$2)*$AB$26+COUNTIF($C$27:$AA$27,$AN$2)*$AB$27+COUNTIF($C$28:$AA$28,$AN$2)*$AB$28+COUNTIF($C$29:$AA$29,$AN$2)*$AB$29+COUNTIF($C$30:$AA$30,$AN$2)*$AB$30+COUNTIF($C$31:$AA$31,$AN$2)*$AB$31+COUNTIF($C$32:$AA$32,$AN$2)*$AB$32+COUNTIF($C$33:$AA$33,$AN$2)*$AB$33</f>
        <v>27.25</v>
      </c>
      <c r="AO8" s="295">
        <f>COUNTIF($C$4:$AA$4,$AO$2)*$AB$4+COUNTIF($C$5:$AA$5,$AO$2)*$AB$5+COUNTIF($C$6:$AA$6,$AO$2)*$AB$6+COUNTIF($C$7:$AA$7,$AO$2)*$AB$7+COUNTIF($H$8:$AA$8,$AO$2)*$AB$8+COUNTIF($C$9:$AA$9,$AO$2)*$AB$9+COUNTIF($C$10:$AA$10,$AO$2)*$AB$10+COUNTIF($C$11:$AA$11,$AO$2)*$AB$11+COUNTIF($C$12:$AA$12,$AO$2)*$AB$12+COUNTIF($D$13:$AA$13,$AO$2)*$AB$13+COUNTIF($C$14:$AA$14,$AO$2)*$AB$14+COUNTIF($C$15:$AA$15,$AO$2)*$AB$15+COUNTIF($C$16:$AA$16,$AO$2)*$AB$16+COUNTIF($C$17:$AA$17,$AO$2)*$AB$17+COUNTIF($D$18:$AA$18,$AO$2)*$AB$18+COUNTIF($C$19:$AA$19,$AO$2)*$AB$19+COUNTIF($C$20:$AA$20,$AO$2)*$AB$20+COUNTIF($C$21:$AA$21,$AO$2)*$AB$21+COUNTIF($C$22:$AA$22,$AO$2)*$AB$22+COUNTIF($C$23:$AA$23,$AO$2)*$AB$23+COUNTIF($C$24:$AA$24,$AO$2)*$AB$24+COUNTIF($C$25:$AA$25,$AO$2)*$AB$25+COUNTIF($C$26:$AA$26,$AO$2)*$AB$26+COUNTIF($C$27:$AA$27,$AO$2)*$AB$27+COUNTIF($C$28:$AA$28,$AO$2)*$AB$28+COUNTIF($C$29:$AA$29,$AO$2)*$AB$29+COUNTIF($C$30:$AA$30,$AO$2)*$AB$30+COUNTIF($C$31:$AA$31,$AO$2)*$AB$31+COUNTIF($C$32:$AA$32,$AO$2)*$AB$32+COUNTIF($C$33:$AA$33,$AO$2)*$AB$33</f>
        <v>5</v>
      </c>
      <c r="AP8" s="295">
        <f>COUNTIF($C$4:$AA$4,$AP$2)*$AB$4+COUNTIF($C$5:$AA$5,$AP$2)*$AB$5+COUNTIF($C$6:$AA$6,$AP$2)*$AB$6+COUNTIF($C$7:$AA$7,$AP$2)*$AB$7+COUNTIF($H$8:$AA$8,$AP$2)*$AB$8+COUNTIF($C$9:$AA$9,$AP$2)*$AB$9+COUNTIF($C$10:$AA$10,$AP$2)*$AB$10+COUNTIF($C$11:$AA$11,$AP$2)*$AB$11+COUNTIF($C$12:$AA$12,$AP$2)*$AB$12+COUNTIF($D$13:$AA$13,$AP$2)*$AB$13+COUNTIF($C$14:$AA$14,$AP$2)*$AB$14+COUNTIF($C$15:$AA$15,$AP$2)*$AB$15+COUNTIF($C$16:$AA$16,$AP$2)*$AB$16+COUNTIF($C$17:$AA$17,$AP$2)*$AB$17+COUNTIF($D$18:$AA$18,$AP$2)*$AB$18+COUNTIF($C$19:$AA$19,$AP$2)*$AB$19+COUNTIF($C$20:$AA$20,$AP$2)*$AB$20+COUNTIF($C$21:$AA$21,$AP$2)*$AB$21+COUNTIF($C$22:$AA$22,$AP$2)*$AB$22+COUNTIF($C$23:$AA$23,$AP$2)*$AB$23+COUNTIF($C$24:$AA$24,$AP$2)*$AB$24+COUNTIF($C$25:$AA$25,$AP$2)*$AB$25+COUNTIF($C$26:$AA$26,$AP$2)*$AB$26+COUNTIF($C$27:$AA$27,$AP$2)*$AB$27+COUNTIF($C$28:$AA$28,$AP$2)*$AB$28+COUNTIF($C$29:$AA$29,$AP$2)*$AB$29+COUNTIF($C$30:$AA$30,$AP$2)*$AB$30+COUNTIF($C$31:$AA$31,$AP$2)*$AB$31+COUNTIF($C$32:$AA$32,$AP$2)*$AB$32+COUNTIF($C$33:$AA$33,$AP$2)*$AB$33</f>
        <v>3.5</v>
      </c>
      <c r="AQ8" s="295">
        <f>AQ7*1.25</f>
        <v>1.25</v>
      </c>
    </row>
    <row r="9" spans="1:43" ht="18.75" customHeight="1" x14ac:dyDescent="0.35">
      <c r="A9" s="91" t="s">
        <v>11</v>
      </c>
      <c r="B9" s="360" t="s">
        <v>224</v>
      </c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>
        <v>1.5</v>
      </c>
      <c r="AD9" s="312" t="s">
        <v>240</v>
      </c>
      <c r="AE9" s="323"/>
      <c r="AF9" s="294"/>
      <c r="AG9" s="294"/>
      <c r="AH9" s="306">
        <f t="shared" ref="AH9:AQ9" si="1">AH7/AH3</f>
        <v>6.25</v>
      </c>
      <c r="AI9" s="306">
        <f t="shared" si="1"/>
        <v>7.4285714285714288</v>
      </c>
      <c r="AJ9" s="306">
        <f>AJ7/AJ3</f>
        <v>6</v>
      </c>
      <c r="AK9" s="306">
        <f t="shared" si="1"/>
        <v>6.666666666666667</v>
      </c>
      <c r="AL9" s="306">
        <f t="shared" si="1"/>
        <v>4.25</v>
      </c>
      <c r="AM9" s="306">
        <f>AM7/AM3</f>
        <v>2</v>
      </c>
      <c r="AN9" s="306">
        <f t="shared" si="1"/>
        <v>7.25</v>
      </c>
      <c r="AO9" s="306">
        <f t="shared" si="1"/>
        <v>2</v>
      </c>
      <c r="AP9" s="306">
        <f t="shared" si="1"/>
        <v>3.5</v>
      </c>
      <c r="AQ9" s="306">
        <f t="shared" si="1"/>
        <v>1</v>
      </c>
    </row>
    <row r="10" spans="1:43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9" t="s">
        <v>48</v>
      </c>
      <c r="U10" s="31"/>
      <c r="V10" s="7"/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f>(AE8-AG8)/AE4</f>
        <v>5.625</v>
      </c>
      <c r="AF10" s="316">
        <f>AF8/AF4</f>
        <v>0</v>
      </c>
      <c r="AG10" s="295"/>
      <c r="AH10" s="295">
        <f>(AH8-4)/AH4</f>
        <v>6.25</v>
      </c>
      <c r="AI10" s="295">
        <f>(AI8)/AI3</f>
        <v>7.2857142857142856</v>
      </c>
      <c r="AJ10" s="295">
        <f>(AJ8)/AJ3</f>
        <v>7.75</v>
      </c>
      <c r="AK10" s="295">
        <f>(AK8-4)/AK4</f>
        <v>6.5</v>
      </c>
      <c r="AL10" s="295">
        <f>(AL8-5.75)/AL4</f>
        <v>4.375</v>
      </c>
      <c r="AM10" s="295">
        <f>(AM8)/AM4</f>
        <v>3</v>
      </c>
      <c r="AN10" s="295">
        <f>(AN8-3.25)/AN4</f>
        <v>6</v>
      </c>
      <c r="AO10" s="295">
        <f>AO8/AO4</f>
        <v>2.5</v>
      </c>
      <c r="AP10" s="295">
        <f>(AP8-1.25)/AP4</f>
        <v>1.125</v>
      </c>
      <c r="AQ10" s="295">
        <f>AQ8/AQ4</f>
        <v>1.25</v>
      </c>
    </row>
    <row r="11" spans="1:43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310" t="s">
        <v>62</v>
      </c>
      <c r="AE11" s="321">
        <f>AH11+AI11+AK11+AL11+AN11+AP11</f>
        <v>400</v>
      </c>
      <c r="AF11" s="298"/>
      <c r="AG11" s="298"/>
      <c r="AH11" s="299">
        <f>25*2*2</f>
        <v>100</v>
      </c>
      <c r="AI11" s="299">
        <f>25*2*2</f>
        <v>100</v>
      </c>
      <c r="AJ11" s="299"/>
      <c r="AK11" s="300">
        <f>25*2</f>
        <v>50</v>
      </c>
      <c r="AL11" s="300">
        <f t="shared" ref="AL11:AP11" si="2">25*2</f>
        <v>50</v>
      </c>
      <c r="AM11" s="300"/>
      <c r="AN11" s="300">
        <f t="shared" si="2"/>
        <v>50</v>
      </c>
      <c r="AO11" s="300"/>
      <c r="AP11" s="300">
        <f t="shared" si="2"/>
        <v>50</v>
      </c>
      <c r="AQ11" s="300"/>
    </row>
    <row r="12" spans="1:43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313" t="s">
        <v>90</v>
      </c>
      <c r="AE12" s="325">
        <f>(AE11-9)/AE3</f>
        <v>10.025641025641026</v>
      </c>
      <c r="AF12" s="317">
        <f>AF11/AF3</f>
        <v>0</v>
      </c>
      <c r="AG12" s="307"/>
      <c r="AH12" s="307">
        <f t="shared" ref="AH12:AQ12" si="3">AH11/AH3</f>
        <v>12.5</v>
      </c>
      <c r="AI12" s="307">
        <f t="shared" si="3"/>
        <v>14.285714285714286</v>
      </c>
      <c r="AJ12" s="307"/>
      <c r="AK12" s="307">
        <f t="shared" si="3"/>
        <v>8.3333333333333339</v>
      </c>
      <c r="AL12" s="307">
        <f t="shared" si="3"/>
        <v>12.5</v>
      </c>
      <c r="AM12" s="307"/>
      <c r="AN12" s="307">
        <f t="shared" si="3"/>
        <v>12.5</v>
      </c>
      <c r="AO12" s="307">
        <f t="shared" si="3"/>
        <v>0</v>
      </c>
      <c r="AP12" s="307">
        <f t="shared" si="3"/>
        <v>25</v>
      </c>
      <c r="AQ12" s="307">
        <f t="shared" si="3"/>
        <v>0</v>
      </c>
    </row>
    <row r="13" spans="1:43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14" t="s">
        <v>265</v>
      </c>
      <c r="I13" s="58"/>
      <c r="J13" s="15" t="s">
        <v>49</v>
      </c>
      <c r="K13" s="282"/>
      <c r="L13" s="61"/>
      <c r="M13" s="59"/>
      <c r="N13" s="276"/>
      <c r="O13" s="276"/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4" t="s">
        <v>43</v>
      </c>
      <c r="AE13" s="326">
        <f>AE5-AE8-AE11</f>
        <v>191.75</v>
      </c>
      <c r="AF13" s="318"/>
      <c r="AG13" s="305"/>
      <c r="AH13" s="305">
        <f t="shared" ref="AH13:AQ13" si="4">AH5-AH8-AH11</f>
        <v>46</v>
      </c>
      <c r="AI13" s="305">
        <f t="shared" si="4"/>
        <v>24</v>
      </c>
      <c r="AJ13" s="305"/>
      <c r="AK13" s="305">
        <f t="shared" si="4"/>
        <v>57</v>
      </c>
      <c r="AL13" s="305">
        <f t="shared" si="4"/>
        <v>26.75</v>
      </c>
      <c r="AM13" s="305"/>
      <c r="AN13" s="305">
        <f t="shared" si="4"/>
        <v>22.75</v>
      </c>
      <c r="AO13" s="305">
        <f t="shared" si="4"/>
        <v>45</v>
      </c>
      <c r="AP13" s="305">
        <f t="shared" si="4"/>
        <v>-3.5</v>
      </c>
      <c r="AQ13" s="305">
        <f t="shared" si="4"/>
        <v>23.75</v>
      </c>
    </row>
    <row r="14" spans="1:43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282"/>
      <c r="K14" s="15" t="s">
        <v>49</v>
      </c>
      <c r="L14" s="16" t="s">
        <v>49</v>
      </c>
      <c r="M14" s="15" t="s">
        <v>49</v>
      </c>
      <c r="N14" s="15" t="s">
        <v>49</v>
      </c>
      <c r="O14" s="15" t="s">
        <v>49</v>
      </c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2"/>
      <c r="Z14" s="2"/>
      <c r="AA14" s="7"/>
      <c r="AB14" s="287">
        <v>1.5</v>
      </c>
      <c r="AD14" s="314" t="s">
        <v>67</v>
      </c>
      <c r="AE14" s="328">
        <f>AE13/33</f>
        <v>5.8106060606060606</v>
      </c>
      <c r="AF14" s="301"/>
      <c r="AG14" s="301"/>
      <c r="AH14" s="329">
        <f t="shared" ref="AH14:AQ14" si="5">AH13/AH3</f>
        <v>5.75</v>
      </c>
      <c r="AI14" s="329">
        <f t="shared" si="5"/>
        <v>3.4285714285714284</v>
      </c>
      <c r="AJ14" s="329"/>
      <c r="AK14" s="329">
        <f t="shared" si="5"/>
        <v>9.5</v>
      </c>
      <c r="AL14" s="329">
        <f t="shared" si="5"/>
        <v>6.6875</v>
      </c>
      <c r="AM14" s="329"/>
      <c r="AN14" s="329">
        <f t="shared" si="5"/>
        <v>5.6875</v>
      </c>
      <c r="AO14" s="329">
        <f t="shared" si="5"/>
        <v>22.5</v>
      </c>
      <c r="AP14" s="329">
        <f t="shared" si="5"/>
        <v>-1.75</v>
      </c>
      <c r="AQ14" s="329">
        <f t="shared" si="5"/>
        <v>23.75</v>
      </c>
    </row>
    <row r="15" spans="1:43" ht="18.75" customHeight="1" thickBot="1" x14ac:dyDescent="0.4">
      <c r="A15" s="205" t="s">
        <v>12</v>
      </c>
      <c r="B15" s="375" t="s">
        <v>239</v>
      </c>
      <c r="C15" s="332"/>
      <c r="D15" s="282"/>
      <c r="E15" s="282"/>
      <c r="F15" s="282"/>
      <c r="G15" s="284"/>
      <c r="H15" s="283"/>
      <c r="I15" s="282"/>
      <c r="J15" s="282"/>
      <c r="K15" s="282"/>
      <c r="L15" s="284"/>
      <c r="M15" s="6"/>
      <c r="N15" s="282"/>
      <c r="O15" s="282"/>
      <c r="P15" s="282"/>
      <c r="Q15" s="7"/>
      <c r="R15" s="14" t="s">
        <v>49</v>
      </c>
      <c r="S15" s="2"/>
      <c r="T15" s="2"/>
      <c r="U15" s="2"/>
      <c r="V15" s="7"/>
      <c r="W15" s="6"/>
      <c r="X15" s="25"/>
      <c r="Y15" s="2"/>
      <c r="Z15" s="2"/>
      <c r="AA15" s="7"/>
      <c r="AB15" s="287">
        <v>1</v>
      </c>
      <c r="AD15" s="314" t="s">
        <v>252</v>
      </c>
      <c r="AE15" s="327">
        <f>AE14/2</f>
        <v>2.9053030303030303</v>
      </c>
      <c r="AF15" s="301"/>
      <c r="AG15" s="301"/>
      <c r="AH15" s="302">
        <f>AH14/2</f>
        <v>2.875</v>
      </c>
      <c r="AI15" s="302">
        <f>AI14/2</f>
        <v>1.7142857142857142</v>
      </c>
      <c r="AJ15" s="302"/>
      <c r="AK15" s="302">
        <f>AK14/2</f>
        <v>4.75</v>
      </c>
      <c r="AL15" s="302">
        <f>AL14/2</f>
        <v>3.34375</v>
      </c>
      <c r="AM15" s="302"/>
      <c r="AN15" s="302">
        <f>AN14/2</f>
        <v>2.84375</v>
      </c>
      <c r="AO15" s="303"/>
      <c r="AP15" s="303">
        <f>AP14/2</f>
        <v>-0.875</v>
      </c>
      <c r="AQ15" s="302"/>
    </row>
    <row r="16" spans="1:43" x14ac:dyDescent="0.35">
      <c r="A16" s="205" t="s">
        <v>12</v>
      </c>
      <c r="B16" s="375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97"/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</row>
    <row r="17" spans="1:44" x14ac:dyDescent="0.35">
      <c r="A17" s="205" t="s">
        <v>12</v>
      </c>
      <c r="B17" s="206" t="s">
        <v>228</v>
      </c>
      <c r="C17" s="386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386" t="s">
        <v>48</v>
      </c>
      <c r="N17" s="4" t="s">
        <v>48</v>
      </c>
      <c r="O17" s="382" t="s">
        <v>48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4" t="s">
        <v>216</v>
      </c>
      <c r="X17" s="195" t="s">
        <v>31</v>
      </c>
      <c r="Y17" s="264" t="s">
        <v>269</v>
      </c>
      <c r="Z17" s="199" t="s">
        <v>216</v>
      </c>
      <c r="AA17" s="387" t="s">
        <v>48</v>
      </c>
      <c r="AB17" s="287">
        <v>1.25</v>
      </c>
    </row>
    <row r="18" spans="1:44" x14ac:dyDescent="0.35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28" t="s">
        <v>274</v>
      </c>
      <c r="I18" s="2"/>
      <c r="J18" s="27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" t="s">
        <v>259</v>
      </c>
    </row>
    <row r="19" spans="1:44" x14ac:dyDescent="0.35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345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345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  <c r="AD19" t="s">
        <v>241</v>
      </c>
    </row>
    <row r="20" spans="1:44" x14ac:dyDescent="0.35">
      <c r="A20" s="205" t="s">
        <v>12</v>
      </c>
      <c r="B20" s="370" t="s">
        <v>223</v>
      </c>
      <c r="C20" s="352" t="s">
        <v>269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97"/>
      <c r="AA20" s="253"/>
      <c r="AB20" s="287">
        <v>1.5</v>
      </c>
      <c r="AD20" t="s">
        <v>242</v>
      </c>
    </row>
    <row r="21" spans="1:44" x14ac:dyDescent="0.35">
      <c r="A21" s="205" t="s">
        <v>12</v>
      </c>
      <c r="B21" s="368" t="s">
        <v>224</v>
      </c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>
        <v>1.5</v>
      </c>
      <c r="AD21" t="s">
        <v>243</v>
      </c>
    </row>
    <row r="22" spans="1:44" x14ac:dyDescent="0.35">
      <c r="A22" s="205" t="s">
        <v>12</v>
      </c>
      <c r="B22" s="371" t="s">
        <v>37</v>
      </c>
      <c r="C22" s="8" t="s">
        <v>48</v>
      </c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t="s">
        <v>244</v>
      </c>
    </row>
    <row r="23" spans="1:44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t="s">
        <v>245</v>
      </c>
    </row>
    <row r="24" spans="1:44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t="s">
        <v>246</v>
      </c>
    </row>
    <row r="25" spans="1:44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t="s">
        <v>247</v>
      </c>
    </row>
    <row r="26" spans="1:44" ht="20.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t="s">
        <v>248</v>
      </c>
    </row>
    <row r="27" spans="1:44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</row>
    <row r="28" spans="1:44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E28" s="346" t="s">
        <v>270</v>
      </c>
      <c r="AF28" t="s">
        <v>266</v>
      </c>
    </row>
    <row r="29" spans="1:44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E29" s="15" t="s">
        <v>265</v>
      </c>
      <c r="AF29" t="s">
        <v>267</v>
      </c>
    </row>
    <row r="30" spans="1:44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 t="s">
        <v>38</v>
      </c>
      <c r="Z30" s="41"/>
      <c r="AA30" s="44"/>
      <c r="AB30" s="288">
        <v>0.5</v>
      </c>
      <c r="AE30" s="350" t="s">
        <v>50</v>
      </c>
      <c r="AF30" t="s">
        <v>268</v>
      </c>
      <c r="AR30" s="292"/>
    </row>
    <row r="31" spans="1:44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E31" s="297" t="s">
        <v>271</v>
      </c>
      <c r="AR31" s="292"/>
    </row>
    <row r="32" spans="1:44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R32" s="292"/>
    </row>
    <row r="33" spans="1:44" ht="15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R33" s="292"/>
    </row>
    <row r="34" spans="1:44" x14ac:dyDescent="0.35">
      <c r="AE34" t="s">
        <v>263</v>
      </c>
    </row>
    <row r="37" spans="1:44" ht="16.5" x14ac:dyDescent="0.35">
      <c r="B37" s="384" t="s">
        <v>184</v>
      </c>
      <c r="C37" s="384">
        <v>-5</v>
      </c>
      <c r="D37" s="383" t="s">
        <v>275</v>
      </c>
    </row>
    <row r="38" spans="1:44" ht="16.5" x14ac:dyDescent="0.35">
      <c r="D38" s="383" t="s">
        <v>276</v>
      </c>
    </row>
    <row r="39" spans="1:44" x14ac:dyDescent="0.35">
      <c r="B39" s="385" t="s">
        <v>99</v>
      </c>
      <c r="C39" s="385">
        <v>3.5</v>
      </c>
      <c r="D39" s="383" t="s">
        <v>284</v>
      </c>
    </row>
    <row r="40" spans="1:44" x14ac:dyDescent="0.35">
      <c r="D40" s="383"/>
    </row>
    <row r="41" spans="1:44" x14ac:dyDescent="0.35">
      <c r="B41" s="389" t="s">
        <v>97</v>
      </c>
      <c r="C41" s="389">
        <v>0.5</v>
      </c>
      <c r="D41" s="388" t="s">
        <v>277</v>
      </c>
    </row>
    <row r="42" spans="1:44" x14ac:dyDescent="0.35">
      <c r="D42" s="383" t="s">
        <v>278</v>
      </c>
    </row>
    <row r="43" spans="1:44" x14ac:dyDescent="0.35">
      <c r="D43" s="383" t="s">
        <v>279</v>
      </c>
    </row>
    <row r="44" spans="1:44" x14ac:dyDescent="0.35">
      <c r="B44" s="395" t="s">
        <v>45</v>
      </c>
      <c r="C44" s="395">
        <v>1.5</v>
      </c>
      <c r="D44" s="383" t="s">
        <v>282</v>
      </c>
    </row>
    <row r="45" spans="1:44" x14ac:dyDescent="0.35">
      <c r="D45" s="383" t="s">
        <v>280</v>
      </c>
    </row>
    <row r="46" spans="1:44" ht="16.5" x14ac:dyDescent="0.35">
      <c r="D46" s="383" t="s">
        <v>283</v>
      </c>
    </row>
    <row r="47" spans="1:44" x14ac:dyDescent="0.35">
      <c r="D47" s="383" t="s">
        <v>281</v>
      </c>
    </row>
    <row r="48" spans="1:44" ht="16.5" x14ac:dyDescent="0.35">
      <c r="B48" s="396" t="s">
        <v>44</v>
      </c>
      <c r="C48" s="396">
        <v>-1</v>
      </c>
      <c r="D48" t="s">
        <v>285</v>
      </c>
    </row>
    <row r="49" spans="30:43" x14ac:dyDescent="0.35"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</row>
    <row r="50" spans="30:43" ht="15.5" x14ac:dyDescent="0.35">
      <c r="AD50" s="293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</row>
    <row r="51" spans="30:43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</row>
    <row r="52" spans="30:43" x14ac:dyDescent="0.35"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</row>
  </sheetData>
  <conditionalFormatting sqref="AH10:AQ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2E63-29E0-46BA-BBDF-25764D1DB32F}">
  <sheetPr>
    <pageSetUpPr fitToPage="1"/>
  </sheetPr>
  <dimension ref="A1:AQ70"/>
  <sheetViews>
    <sheetView zoomScale="80" zoomScaleNormal="80" workbookViewId="0">
      <selection activeCell="C22" sqref="C22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38.81640625" customWidth="1"/>
    <col min="31" max="31" width="11.453125" customWidth="1"/>
    <col min="42" max="42" width="11.453125" customWidth="1"/>
    <col min="43" max="43" width="12.1796875" customWidth="1"/>
    <col min="44" max="44" width="13.1796875" customWidth="1"/>
  </cols>
  <sheetData>
    <row r="1" spans="1:43" ht="29.5" thickBot="1" x14ac:dyDescent="0.6">
      <c r="B1" s="533" t="s">
        <v>264</v>
      </c>
      <c r="AD1" s="506" t="s">
        <v>287</v>
      </c>
      <c r="AE1" s="319" t="s">
        <v>253</v>
      </c>
      <c r="AF1" s="416" t="s">
        <v>251</v>
      </c>
      <c r="AG1" s="416" t="s">
        <v>102</v>
      </c>
      <c r="AH1" s="417" t="s">
        <v>99</v>
      </c>
      <c r="AI1" s="418" t="s">
        <v>45</v>
      </c>
      <c r="AJ1" s="495" t="s">
        <v>272</v>
      </c>
      <c r="AK1" s="419" t="s">
        <v>44</v>
      </c>
      <c r="AL1" s="420" t="s">
        <v>97</v>
      </c>
      <c r="AM1" s="420" t="s">
        <v>288</v>
      </c>
      <c r="AN1" s="421" t="s">
        <v>46</v>
      </c>
      <c r="AO1" s="422" t="s">
        <v>98</v>
      </c>
      <c r="AP1" s="423" t="s">
        <v>47</v>
      </c>
      <c r="AQ1" s="458" t="s">
        <v>31</v>
      </c>
    </row>
    <row r="2" spans="1:43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507"/>
      <c r="AE2" s="438"/>
      <c r="AF2" s="425" t="s">
        <v>251</v>
      </c>
      <c r="AG2" s="425" t="s">
        <v>102</v>
      </c>
      <c r="AH2" s="426" t="s">
        <v>48</v>
      </c>
      <c r="AI2" s="427" t="s">
        <v>50</v>
      </c>
      <c r="AJ2" s="498" t="s">
        <v>269</v>
      </c>
      <c r="AK2" s="427" t="s">
        <v>49</v>
      </c>
      <c r="AL2" s="428" t="s">
        <v>33</v>
      </c>
      <c r="AM2" s="428" t="s">
        <v>274</v>
      </c>
      <c r="AN2" s="427" t="s">
        <v>53</v>
      </c>
      <c r="AO2" s="429" t="s">
        <v>216</v>
      </c>
      <c r="AP2" s="429" t="s">
        <v>51</v>
      </c>
      <c r="AQ2" s="460" t="s">
        <v>31</v>
      </c>
    </row>
    <row r="3" spans="1:43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508" t="s">
        <v>100</v>
      </c>
      <c r="AE3" s="320">
        <v>40</v>
      </c>
      <c r="AF3" s="430">
        <v>1</v>
      </c>
      <c r="AG3" s="430">
        <v>5</v>
      </c>
      <c r="AH3" s="431">
        <v>8</v>
      </c>
      <c r="AI3" s="432">
        <v>7</v>
      </c>
      <c r="AJ3" s="499">
        <v>1</v>
      </c>
      <c r="AK3" s="433">
        <v>6</v>
      </c>
      <c r="AL3" s="434">
        <v>4</v>
      </c>
      <c r="AM3" s="434">
        <v>1</v>
      </c>
      <c r="AN3" s="435">
        <v>4</v>
      </c>
      <c r="AO3" s="436">
        <v>2</v>
      </c>
      <c r="AP3" s="437">
        <v>2</v>
      </c>
      <c r="AQ3" s="462">
        <v>1</v>
      </c>
    </row>
    <row r="4" spans="1:43" ht="18.75" customHeight="1" x14ac:dyDescent="0.35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2" t="s">
        <v>290</v>
      </c>
      <c r="AE4" s="514">
        <f>Actuel!AF7</f>
        <v>207</v>
      </c>
      <c r="AF4" s="316">
        <f>Actuel!AG7</f>
        <v>4</v>
      </c>
      <c r="AG4" s="295">
        <f>Actuel!AH7</f>
        <v>0</v>
      </c>
      <c r="AH4" s="295">
        <f>Actuel!AI7</f>
        <v>48</v>
      </c>
      <c r="AI4" s="295">
        <f>Actuel!AJ7</f>
        <v>46.5</v>
      </c>
      <c r="AJ4" s="295">
        <f>Actuel!AK7</f>
        <v>2</v>
      </c>
      <c r="AK4" s="295">
        <f>Actuel!AL7</f>
        <v>42</v>
      </c>
      <c r="AL4" s="295">
        <f>Actuel!AM7</f>
        <v>16.5</v>
      </c>
      <c r="AM4" s="295">
        <f>Actuel!AN7</f>
        <v>1</v>
      </c>
      <c r="AN4" s="295">
        <f>Actuel!AO7</f>
        <v>29</v>
      </c>
      <c r="AO4" s="295">
        <f>Actuel!AP7</f>
        <v>4</v>
      </c>
      <c r="AP4" s="295">
        <f>Actuel!AQ7</f>
        <v>13</v>
      </c>
      <c r="AQ4" s="295">
        <f>Actuel!AR7</f>
        <v>1</v>
      </c>
    </row>
    <row r="5" spans="1:43" ht="18.75" customHeight="1" x14ac:dyDescent="0.35">
      <c r="A5" s="271" t="s">
        <v>11</v>
      </c>
      <c r="B5" s="356" t="s">
        <v>237</v>
      </c>
      <c r="C5" s="6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97"/>
      <c r="O5" s="58"/>
      <c r="P5" s="58"/>
      <c r="Q5" s="61"/>
      <c r="R5" s="59"/>
      <c r="S5" s="58"/>
      <c r="T5" s="58"/>
      <c r="U5" s="402"/>
      <c r="V5" s="61"/>
      <c r="W5" s="59"/>
      <c r="X5" s="58"/>
      <c r="Y5" s="97"/>
      <c r="Z5" s="58"/>
      <c r="AA5" s="61"/>
      <c r="AB5" s="287">
        <v>1.5</v>
      </c>
      <c r="AD5" s="522" t="s">
        <v>291</v>
      </c>
      <c r="AE5" s="517">
        <f>SUM(AF5:AQ5)</f>
        <v>133</v>
      </c>
      <c r="AF5" s="523">
        <v>4</v>
      </c>
      <c r="AG5" s="519"/>
      <c r="AH5" s="520">
        <f>(COUNTIF(Actuel!$C$4:$AA$13,AH2))+(COUNTIF(Actuel!$C$23:$AA$34,AH2))</f>
        <v>29</v>
      </c>
      <c r="AI5" s="520">
        <f>(COUNTIF(Actuel!$C$4:$AA$13,AI2))+(COUNTIF(Actuel!$C$23:$AA$34,AI2))-0.5</f>
        <v>40.5</v>
      </c>
      <c r="AJ5" s="520"/>
      <c r="AK5" s="520">
        <f>(COUNTIF(Actuel!$C$4:$AA$13,AK2))+(COUNTIF(Actuel!$C$23:$AA$34,AK2))</f>
        <v>22</v>
      </c>
      <c r="AL5" s="520">
        <f>(COUNTIF(Actuel!$C$4:$AA$13,AL2))+(COUNTIF(Actuel!$C$23:$AA$34,AL2))-0.5</f>
        <v>4.5</v>
      </c>
      <c r="AM5" s="520">
        <v>0</v>
      </c>
      <c r="AN5" s="520">
        <f>(COUNTIF(Actuel!$C$4:$AA$13,AN2))+(COUNTIF(Actuel!$C$23:$AA$34,AN2))</f>
        <v>25</v>
      </c>
      <c r="AO5" s="520">
        <f>(COUNTIF(Actuel!$C$4:$AA$13,AO2))+(COUNTIF(Actuel!$C$23:$AA$34,AO2))</f>
        <v>0</v>
      </c>
      <c r="AP5" s="520">
        <f>(COUNTIF(Actuel!$C$4:$AA$13,AP2))+(COUNTIF(Actuel!$C$23:$AA$34,AP2))</f>
        <v>8</v>
      </c>
      <c r="AQ5" s="521">
        <f>(COUNTIF(Actuel!$C$4:$AA$13,AQ2))+(COUNTIF(Actuel!$C$23:$AA$34,AQ2))</f>
        <v>0</v>
      </c>
    </row>
    <row r="6" spans="1:43" ht="18.75" customHeight="1" thickBot="1" x14ac:dyDescent="0.4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399" t="s">
        <v>49</v>
      </c>
      <c r="X6" s="392"/>
      <c r="Y6" s="403" t="s">
        <v>49</v>
      </c>
      <c r="Z6" s="4" t="s">
        <v>48</v>
      </c>
      <c r="AA6" s="9" t="s">
        <v>48</v>
      </c>
      <c r="AB6" s="287">
        <v>1</v>
      </c>
      <c r="AD6" s="522" t="s">
        <v>289</v>
      </c>
      <c r="AE6" s="517">
        <f>SUM(AF6:AQ6)</f>
        <v>73</v>
      </c>
      <c r="AF6" s="524"/>
      <c r="AG6" s="519"/>
      <c r="AH6" s="520">
        <f>(COUNTIF(Actuel!$C$14:$AA$22,AH2))</f>
        <v>19</v>
      </c>
      <c r="AI6" s="520">
        <f>(COUNTIF(Actuel!$C$14:$AA$22,AI2))-(COUNTIF(Actuel!$C$20:$AA$20,AI2))</f>
        <v>5</v>
      </c>
      <c r="AJ6" s="525">
        <v>2</v>
      </c>
      <c r="AK6" s="520">
        <f>(COUNTIF(Actuel!$C$14:$AA$22,AK2))</f>
        <v>20</v>
      </c>
      <c r="AL6" s="520">
        <f>(COUNTIF(Actuel!$C$14:$AA$22,AL2))</f>
        <v>12</v>
      </c>
      <c r="AM6" s="520">
        <v>1</v>
      </c>
      <c r="AN6" s="520">
        <f>(COUNTIF(Actuel!$C$14:$AA$22,AN2))</f>
        <v>4</v>
      </c>
      <c r="AO6" s="520">
        <f>(COUNTIF(Actuel!$C$14:$AA$22,AO2))</f>
        <v>4</v>
      </c>
      <c r="AP6" s="520">
        <f>(COUNTIF(Actuel!$C$14:$AA$22,AP2))</f>
        <v>5</v>
      </c>
      <c r="AQ6" s="521">
        <f>(COUNTIF(Actuel!$C$14:$AA$22,AQ2))</f>
        <v>1</v>
      </c>
    </row>
    <row r="7" spans="1:43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00" t="s">
        <v>33</v>
      </c>
      <c r="L7" s="200" t="s">
        <v>48</v>
      </c>
      <c r="M7" s="193" t="s">
        <v>48</v>
      </c>
      <c r="N7" s="4" t="s">
        <v>48</v>
      </c>
      <c r="O7" s="4" t="s">
        <v>48</v>
      </c>
      <c r="P7" s="4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312" t="s">
        <v>249</v>
      </c>
      <c r="AE7" s="323">
        <f>SUM(AF7:AS7)</f>
        <v>243.375</v>
      </c>
      <c r="AF7" s="316">
        <v>2</v>
      </c>
      <c r="AG7" s="295">
        <v>22.625</v>
      </c>
      <c r="AH7" s="295">
        <v>52.5</v>
      </c>
      <c r="AI7" s="295">
        <v>48.75</v>
      </c>
      <c r="AJ7" s="295">
        <v>2.75</v>
      </c>
      <c r="AK7" s="295">
        <v>46</v>
      </c>
      <c r="AL7" s="295">
        <v>21.75</v>
      </c>
      <c r="AM7" s="295">
        <v>1.5</v>
      </c>
      <c r="AN7" s="295">
        <v>27.25</v>
      </c>
      <c r="AO7" s="295">
        <v>5</v>
      </c>
      <c r="AP7" s="295">
        <v>12</v>
      </c>
      <c r="AQ7" s="466">
        <v>1.25</v>
      </c>
    </row>
    <row r="8" spans="1:43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401" t="s">
        <v>50</v>
      </c>
      <c r="I8" s="408" t="s">
        <v>50</v>
      </c>
      <c r="J8" s="400" t="s">
        <v>33</v>
      </c>
      <c r="K8" s="4" t="s">
        <v>48</v>
      </c>
      <c r="L8" s="404" t="s">
        <v>33</v>
      </c>
      <c r="M8" s="30"/>
      <c r="N8" s="408" t="s">
        <v>50</v>
      </c>
      <c r="O8" s="31"/>
      <c r="P8" s="31"/>
      <c r="Q8" s="250"/>
      <c r="R8" s="405" t="s">
        <v>51</v>
      </c>
      <c r="S8" s="398" t="s">
        <v>51</v>
      </c>
      <c r="T8" s="398" t="s">
        <v>51</v>
      </c>
      <c r="U8" s="398" t="s">
        <v>51</v>
      </c>
      <c r="V8" s="406" t="s">
        <v>51</v>
      </c>
      <c r="W8" s="6"/>
      <c r="X8" s="2"/>
      <c r="Y8" s="2"/>
      <c r="Z8" s="2"/>
      <c r="AA8" s="7"/>
      <c r="AB8" s="287">
        <v>1</v>
      </c>
      <c r="AD8" s="312" t="s">
        <v>240</v>
      </c>
      <c r="AE8" s="323"/>
      <c r="AF8" s="294"/>
      <c r="AG8" s="294"/>
      <c r="AH8" s="306">
        <v>6</v>
      </c>
      <c r="AI8" s="306">
        <v>6.5714285714285712</v>
      </c>
      <c r="AJ8" s="306">
        <f>1.25+1.5</f>
        <v>2.75</v>
      </c>
      <c r="AK8" s="306">
        <v>7</v>
      </c>
      <c r="AL8" s="306">
        <v>4</v>
      </c>
      <c r="AM8" s="306">
        <f t="shared" ref="AM8" si="0">AM4/AM3</f>
        <v>1</v>
      </c>
      <c r="AN8" s="306">
        <v>7.25</v>
      </c>
      <c r="AO8" s="306">
        <v>2</v>
      </c>
      <c r="AP8" s="306">
        <v>6.5</v>
      </c>
      <c r="AQ8" s="468">
        <v>1</v>
      </c>
    </row>
    <row r="9" spans="1:43" ht="18.75" hidden="1" customHeight="1" x14ac:dyDescent="0.35">
      <c r="A9" s="91"/>
      <c r="B9" s="360"/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/>
      <c r="AD9" s="312"/>
      <c r="AE9" s="323"/>
      <c r="AF9" s="294"/>
      <c r="AG9" s="294"/>
      <c r="AH9" s="306"/>
      <c r="AI9" s="306"/>
      <c r="AJ9" s="306"/>
      <c r="AK9" s="306"/>
      <c r="AL9" s="306"/>
      <c r="AM9" s="306"/>
      <c r="AN9" s="306"/>
      <c r="AO9" s="306"/>
      <c r="AP9" s="306"/>
      <c r="AQ9" s="468"/>
    </row>
    <row r="10" spans="1:43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526" t="s">
        <v>33</v>
      </c>
      <c r="U10" s="9" t="s">
        <v>48</v>
      </c>
      <c r="V10" s="9" t="s">
        <v>48</v>
      </c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v>5.875</v>
      </c>
      <c r="AF10" s="316">
        <v>2</v>
      </c>
      <c r="AG10" s="295"/>
      <c r="AH10" s="295">
        <v>6.0625</v>
      </c>
      <c r="AI10" s="295">
        <v>6.5714285714285712</v>
      </c>
      <c r="AJ10" s="295">
        <f>(AJ8)/AJ3</f>
        <v>2.75</v>
      </c>
      <c r="AK10" s="295">
        <v>7</v>
      </c>
      <c r="AL10" s="295">
        <v>3.65625</v>
      </c>
      <c r="AM10" s="295">
        <f>(AM7)/AM3</f>
        <v>1.5</v>
      </c>
      <c r="AN10" s="295">
        <v>6</v>
      </c>
      <c r="AO10" s="295">
        <v>2.5</v>
      </c>
      <c r="AP10" s="295">
        <v>5.375</v>
      </c>
      <c r="AQ10" s="466">
        <v>1.25</v>
      </c>
    </row>
    <row r="11" spans="1:43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509" t="s">
        <v>101</v>
      </c>
      <c r="AE11" s="451">
        <v>33</v>
      </c>
      <c r="AF11" s="452">
        <v>1</v>
      </c>
      <c r="AG11" s="452"/>
      <c r="AH11" s="453">
        <v>8</v>
      </c>
      <c r="AI11" s="453">
        <v>7</v>
      </c>
      <c r="AJ11" s="453">
        <v>1</v>
      </c>
      <c r="AK11" s="453">
        <v>6</v>
      </c>
      <c r="AL11" s="453">
        <v>4</v>
      </c>
      <c r="AM11" s="453">
        <v>1</v>
      </c>
      <c r="AN11" s="453">
        <v>4</v>
      </c>
      <c r="AO11" s="454">
        <v>2</v>
      </c>
      <c r="AP11" s="454">
        <v>2</v>
      </c>
      <c r="AQ11" s="470">
        <v>1</v>
      </c>
    </row>
    <row r="12" spans="1:43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509" t="s">
        <v>254</v>
      </c>
      <c r="AE12" s="451">
        <v>800</v>
      </c>
      <c r="AF12" s="455">
        <v>25</v>
      </c>
      <c r="AG12" s="455">
        <v>125</v>
      </c>
      <c r="AH12" s="455">
        <v>200</v>
      </c>
      <c r="AI12" s="455">
        <v>175</v>
      </c>
      <c r="AJ12" s="455">
        <f t="shared" ref="AJ12" si="1">AJ3*25</f>
        <v>25</v>
      </c>
      <c r="AK12" s="455">
        <v>150</v>
      </c>
      <c r="AL12" s="455">
        <v>100</v>
      </c>
      <c r="AM12" s="455">
        <f t="shared" ref="AM12" si="2">AM3*25</f>
        <v>25</v>
      </c>
      <c r="AN12" s="455">
        <v>100</v>
      </c>
      <c r="AO12" s="455">
        <v>50</v>
      </c>
      <c r="AP12" s="455">
        <v>50</v>
      </c>
      <c r="AQ12" s="456">
        <v>25</v>
      </c>
    </row>
    <row r="13" spans="1:43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283"/>
      <c r="I13" s="58"/>
      <c r="J13" s="282"/>
      <c r="K13" s="282"/>
      <c r="L13" s="61"/>
      <c r="M13" s="59"/>
      <c r="N13" s="276"/>
      <c r="O13" s="15" t="s">
        <v>49</v>
      </c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0" t="s">
        <v>292</v>
      </c>
      <c r="AE13" s="321">
        <v>400</v>
      </c>
      <c r="AF13" s="298"/>
      <c r="AG13" s="298"/>
      <c r="AH13" s="299">
        <v>100</v>
      </c>
      <c r="AI13" s="299">
        <v>100</v>
      </c>
      <c r="AJ13" s="299"/>
      <c r="AK13" s="300">
        <v>50</v>
      </c>
      <c r="AL13" s="300">
        <v>50</v>
      </c>
      <c r="AM13" s="300"/>
      <c r="AN13" s="300">
        <v>50</v>
      </c>
      <c r="AO13" s="300"/>
      <c r="AP13" s="300">
        <v>50</v>
      </c>
      <c r="AQ13" s="473"/>
    </row>
    <row r="14" spans="1:43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282"/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97"/>
      <c r="Z14" s="2"/>
      <c r="AA14" s="7"/>
      <c r="AB14" s="287">
        <v>1.5</v>
      </c>
      <c r="AD14" s="313" t="s">
        <v>90</v>
      </c>
      <c r="AE14" s="325">
        <v>10.025641025641026</v>
      </c>
      <c r="AF14" s="317">
        <v>0</v>
      </c>
      <c r="AG14" s="307"/>
      <c r="AH14" s="307">
        <v>12.5</v>
      </c>
      <c r="AI14" s="307">
        <v>14.285714285714286</v>
      </c>
      <c r="AJ14" s="307"/>
      <c r="AK14" s="307">
        <v>8.3333333333333339</v>
      </c>
      <c r="AL14" s="307">
        <v>12.5</v>
      </c>
      <c r="AM14" s="307"/>
      <c r="AN14" s="307">
        <v>12.5</v>
      </c>
      <c r="AO14" s="307">
        <v>0</v>
      </c>
      <c r="AP14" s="307">
        <v>25</v>
      </c>
      <c r="AQ14" s="475">
        <v>0</v>
      </c>
    </row>
    <row r="15" spans="1:43" ht="18.75" hidden="1" customHeight="1" x14ac:dyDescent="0.35">
      <c r="A15" s="367"/>
      <c r="B15" s="368"/>
      <c r="C15" s="367"/>
      <c r="D15" s="363"/>
      <c r="E15" s="363"/>
      <c r="F15" s="363"/>
      <c r="G15" s="364"/>
      <c r="H15" s="367"/>
      <c r="I15" s="363"/>
      <c r="J15" s="363"/>
      <c r="K15" s="363"/>
      <c r="L15" s="364"/>
      <c r="M15" s="367"/>
      <c r="N15" s="363"/>
      <c r="O15" s="363"/>
      <c r="P15" s="363"/>
      <c r="Q15" s="364"/>
      <c r="R15" s="367"/>
      <c r="S15" s="363"/>
      <c r="T15" s="363"/>
      <c r="U15" s="363"/>
      <c r="V15" s="364"/>
      <c r="W15" s="367"/>
      <c r="X15" s="410"/>
      <c r="Y15" s="363"/>
      <c r="Z15" s="363"/>
      <c r="AA15" s="364"/>
      <c r="AB15" s="287">
        <v>1</v>
      </c>
      <c r="AD15" s="313"/>
      <c r="AE15" s="325"/>
      <c r="AF15" s="317"/>
      <c r="AG15" s="307"/>
      <c r="AH15" s="307"/>
      <c r="AI15" s="307"/>
      <c r="AJ15" s="329"/>
      <c r="AK15" s="307"/>
      <c r="AL15" s="307"/>
      <c r="AM15" s="307"/>
      <c r="AN15" s="307"/>
      <c r="AO15" s="307"/>
      <c r="AP15" s="307"/>
      <c r="AQ15" s="475"/>
    </row>
    <row r="16" spans="1:43" ht="15.5" x14ac:dyDescent="0.35">
      <c r="A16" s="205" t="s">
        <v>12</v>
      </c>
      <c r="B16" s="375" t="s">
        <v>227</v>
      </c>
      <c r="C16" s="97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314" t="s">
        <v>43</v>
      </c>
      <c r="AE16" s="326">
        <v>183.5</v>
      </c>
      <c r="AF16" s="318"/>
      <c r="AG16" s="305"/>
      <c r="AH16" s="305">
        <v>47.5</v>
      </c>
      <c r="AI16" s="305">
        <v>26.25</v>
      </c>
      <c r="AJ16" s="305"/>
      <c r="AK16" s="305">
        <v>54</v>
      </c>
      <c r="AL16" s="305">
        <v>28.25</v>
      </c>
      <c r="AM16" s="305"/>
      <c r="AN16" s="305">
        <v>22.75</v>
      </c>
      <c r="AO16" s="305">
        <v>45</v>
      </c>
      <c r="AP16" s="305">
        <v>-12</v>
      </c>
      <c r="AQ16" s="477">
        <v>23.75</v>
      </c>
    </row>
    <row r="17" spans="1:43" ht="17.25" customHeight="1" x14ac:dyDescent="0.35">
      <c r="A17" s="205" t="s">
        <v>12</v>
      </c>
      <c r="B17" s="206" t="s">
        <v>228</v>
      </c>
      <c r="C17" s="405" t="s">
        <v>51</v>
      </c>
      <c r="D17" s="4" t="s">
        <v>48</v>
      </c>
      <c r="E17" s="409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199" t="s">
        <v>216</v>
      </c>
      <c r="N17" s="4" t="s">
        <v>48</v>
      </c>
      <c r="O17" s="398" t="s">
        <v>51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4" t="s">
        <v>216</v>
      </c>
      <c r="X17" s="195" t="s">
        <v>31</v>
      </c>
      <c r="Y17" s="264" t="s">
        <v>269</v>
      </c>
      <c r="Z17" s="26" t="s">
        <v>50</v>
      </c>
      <c r="AA17" s="387" t="s">
        <v>48</v>
      </c>
      <c r="AB17" s="287">
        <v>1.5</v>
      </c>
      <c r="AD17" s="314" t="s">
        <v>293</v>
      </c>
      <c r="AE17" s="328">
        <v>5.5606060606060597</v>
      </c>
      <c r="AF17" s="301"/>
      <c r="AG17" s="301"/>
      <c r="AH17" s="329">
        <v>5.9375</v>
      </c>
      <c r="AI17" s="329">
        <v>3.75</v>
      </c>
      <c r="AJ17" s="329"/>
      <c r="AK17" s="329">
        <v>9</v>
      </c>
      <c r="AL17" s="329">
        <v>7.0625</v>
      </c>
      <c r="AM17" s="329"/>
      <c r="AN17" s="329">
        <v>5.6875</v>
      </c>
      <c r="AO17" s="329">
        <v>22.5</v>
      </c>
      <c r="AP17" s="329">
        <v>-6</v>
      </c>
      <c r="AQ17" s="479">
        <v>23.75</v>
      </c>
    </row>
    <row r="18" spans="1:43" ht="16" thickBot="1" x14ac:dyDescent="0.4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28" t="s">
        <v>274</v>
      </c>
      <c r="I18" s="2"/>
      <c r="J18" s="27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Y18" s="2"/>
      <c r="Z18" s="2"/>
      <c r="AA18" s="7"/>
      <c r="AB18" s="287">
        <v>1.5</v>
      </c>
      <c r="AD18" s="510" t="s">
        <v>252</v>
      </c>
      <c r="AE18" s="327">
        <v>2.7803030303030303</v>
      </c>
      <c r="AF18" s="481"/>
      <c r="AG18" s="481"/>
      <c r="AH18" s="482">
        <v>2.96875</v>
      </c>
      <c r="AI18" s="482">
        <v>1.875</v>
      </c>
      <c r="AJ18" s="482"/>
      <c r="AK18" s="482">
        <v>4.5</v>
      </c>
      <c r="AL18" s="482">
        <v>3.53125</v>
      </c>
      <c r="AM18" s="482"/>
      <c r="AN18" s="482">
        <v>2.84375</v>
      </c>
      <c r="AO18" s="483"/>
      <c r="AP18" s="483">
        <v>-3</v>
      </c>
      <c r="AQ18" s="484"/>
    </row>
    <row r="19" spans="1:43" x14ac:dyDescent="0.35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27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</row>
    <row r="20" spans="1:43" ht="16" thickBot="1" x14ac:dyDescent="0.4">
      <c r="A20" s="205" t="s">
        <v>12</v>
      </c>
      <c r="B20" s="370" t="s">
        <v>223</v>
      </c>
      <c r="C20" s="352" t="s">
        <v>269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2"/>
      <c r="AA20" s="253"/>
      <c r="AB20" s="287">
        <v>1.5</v>
      </c>
      <c r="AD20" s="414"/>
      <c r="AE20" s="407"/>
      <c r="AF20" s="407"/>
      <c r="AG20" s="407"/>
      <c r="AH20" s="407"/>
      <c r="AI20" s="407"/>
      <c r="AJ20" s="407"/>
      <c r="AK20" s="407"/>
      <c r="AL20" s="407"/>
      <c r="AM20" s="407"/>
      <c r="AN20" s="407"/>
      <c r="AO20" s="407"/>
    </row>
    <row r="21" spans="1:43" ht="15" hidden="1" thickBot="1" x14ac:dyDescent="0.4">
      <c r="A21" s="205"/>
      <c r="B21" s="368"/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/>
    </row>
    <row r="22" spans="1:43" ht="29.5" thickBot="1" x14ac:dyDescent="0.6">
      <c r="A22" s="205" t="s">
        <v>12</v>
      </c>
      <c r="B22" s="371" t="s">
        <v>37</v>
      </c>
      <c r="C22" s="6"/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s="446" t="s">
        <v>286</v>
      </c>
      <c r="AE22" s="485" t="s">
        <v>253</v>
      </c>
      <c r="AF22" s="457" t="s">
        <v>251</v>
      </c>
      <c r="AG22" s="416" t="s">
        <v>102</v>
      </c>
      <c r="AH22" s="417" t="s">
        <v>99</v>
      </c>
      <c r="AI22" s="418" t="s">
        <v>45</v>
      </c>
      <c r="AJ22" s="495" t="s">
        <v>272</v>
      </c>
      <c r="AK22" s="419" t="s">
        <v>44</v>
      </c>
      <c r="AL22" s="420" t="s">
        <v>97</v>
      </c>
      <c r="AM22" s="420" t="s">
        <v>288</v>
      </c>
      <c r="AN22" s="421" t="s">
        <v>46</v>
      </c>
      <c r="AO22" s="422" t="s">
        <v>98</v>
      </c>
      <c r="AP22" s="423" t="s">
        <v>47</v>
      </c>
      <c r="AQ22" s="458" t="s">
        <v>31</v>
      </c>
    </row>
    <row r="23" spans="1:43" ht="15.5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s="439"/>
      <c r="AE23" s="424"/>
      <c r="AF23" s="459" t="s">
        <v>251</v>
      </c>
      <c r="AG23" s="425" t="s">
        <v>102</v>
      </c>
      <c r="AH23" s="426" t="s">
        <v>48</v>
      </c>
      <c r="AI23" s="427" t="s">
        <v>50</v>
      </c>
      <c r="AJ23" s="427" t="s">
        <v>269</v>
      </c>
      <c r="AK23" s="427" t="s">
        <v>49</v>
      </c>
      <c r="AL23" s="428" t="s">
        <v>33</v>
      </c>
      <c r="AM23" s="428" t="s">
        <v>274</v>
      </c>
      <c r="AN23" s="427" t="s">
        <v>53</v>
      </c>
      <c r="AO23" s="429" t="s">
        <v>216</v>
      </c>
      <c r="AP23" s="429" t="s">
        <v>51</v>
      </c>
      <c r="AQ23" s="460" t="s">
        <v>31</v>
      </c>
    </row>
    <row r="24" spans="1:43" ht="15.5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s="440" t="s">
        <v>100</v>
      </c>
      <c r="AE24" s="486">
        <v>40</v>
      </c>
      <c r="AF24" s="461">
        <v>1</v>
      </c>
      <c r="AG24" s="430">
        <v>3</v>
      </c>
      <c r="AH24" s="431">
        <v>8</v>
      </c>
      <c r="AI24" s="432">
        <v>7</v>
      </c>
      <c r="AJ24" s="447">
        <v>1</v>
      </c>
      <c r="AK24" s="433">
        <v>6</v>
      </c>
      <c r="AL24" s="434">
        <v>4</v>
      </c>
      <c r="AM24" s="434">
        <v>1</v>
      </c>
      <c r="AN24" s="435">
        <v>4</v>
      </c>
      <c r="AO24" s="436">
        <v>2</v>
      </c>
      <c r="AP24" s="437">
        <v>2</v>
      </c>
      <c r="AQ24" s="462">
        <v>1</v>
      </c>
    </row>
    <row r="25" spans="1:43" ht="15.5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s="441" t="s">
        <v>290</v>
      </c>
      <c r="AE25" s="515">
        <f>SUM(AF25:AQ25)</f>
        <v>209</v>
      </c>
      <c r="AF25" s="463">
        <f>(COUNTIF($C$4:$AA$33,$AF$23))</f>
        <v>0</v>
      </c>
      <c r="AG25" s="306"/>
      <c r="AH25" s="511">
        <f>(COUNTIF($C$4:$AA$33,$AH$23))</f>
        <v>50</v>
      </c>
      <c r="AI25" s="512">
        <f>(COUNTIF($C$4:$AA$33,$AI$23))-0.5</f>
        <v>45.5</v>
      </c>
      <c r="AJ25" s="513">
        <f>(COUNTIF($C$4:$AA$33,$AJ$23))</f>
        <v>5</v>
      </c>
      <c r="AK25" s="448">
        <f>(COUNTIF($C$4:$AA$33,$AK$23))</f>
        <v>42</v>
      </c>
      <c r="AL25" s="448">
        <f>(COUNTIF($C$4:$AA$33,$AL$23))-0.5</f>
        <v>16.5</v>
      </c>
      <c r="AM25" s="513">
        <f>(COUNTIF($C$4:$AA$33,$AM$23))</f>
        <v>2</v>
      </c>
      <c r="AN25" s="448">
        <f>(COUNTIF($C$4:$AA$33,$AN$23))</f>
        <v>29</v>
      </c>
      <c r="AO25" s="448">
        <f>(COUNTIF($C$4:$AA$33,$AO$23))</f>
        <v>4</v>
      </c>
      <c r="AP25" s="511">
        <f>(COUNTIF($C$4:$AA$33,$AP$23))</f>
        <v>14</v>
      </c>
      <c r="AQ25" s="464">
        <f>(COUNTIF($C$4:$AA$33,"SG"))</f>
        <v>1</v>
      </c>
    </row>
    <row r="26" spans="1:43" ht="20.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s="516" t="s">
        <v>291</v>
      </c>
      <c r="AE26" s="517">
        <f>SUM(AF26:AQ26)</f>
        <v>132</v>
      </c>
      <c r="AF26" s="518"/>
      <c r="AG26" s="519"/>
      <c r="AH26" s="520">
        <f>(COUNTIF($C$22:$AA$33,AH23))+(COUNTIF($C$13:$AA$13,AH23))+(COUNTIF($C$4:$AA$11,AH23))-(COUNTIF($C$5:$AA$5,AH2))</f>
        <v>31</v>
      </c>
      <c r="AI26" s="520">
        <f>(COUNTIF($C$22:$AA$33,AI23))+(COUNTIF($C$13:$AA$13,AI23))+(COUNTIF($C$4:$AA$11,AI23))-0.5</f>
        <v>36.5</v>
      </c>
      <c r="AJ26" s="520">
        <f t="shared" ref="AJ26:AQ26" si="3">(COUNTIF($C$22:$AA$33,AJ23))+(COUNTIF($C$13:$AA$13,AJ23))+(COUNTIF($C$4:$AA$11,AJ23))</f>
        <v>1</v>
      </c>
      <c r="AK26" s="520">
        <f t="shared" si="3"/>
        <v>23</v>
      </c>
      <c r="AL26" s="520">
        <f>(COUNTIF($C$22:$AA$33,AL23))+(COUNTIF($C$13:$AA$13,AL23))+(COUNTIF($C$4:$AA$11,AL23))-0.5</f>
        <v>3.5</v>
      </c>
      <c r="AM26" s="520">
        <f t="shared" si="3"/>
        <v>0</v>
      </c>
      <c r="AN26" s="520">
        <f t="shared" si="3"/>
        <v>25</v>
      </c>
      <c r="AO26" s="520">
        <f t="shared" si="3"/>
        <v>0</v>
      </c>
      <c r="AP26" s="520">
        <f t="shared" si="3"/>
        <v>12</v>
      </c>
      <c r="AQ26" s="521">
        <f t="shared" si="3"/>
        <v>0</v>
      </c>
    </row>
    <row r="27" spans="1:43" ht="15.5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s="516" t="s">
        <v>289</v>
      </c>
      <c r="AE27" s="517">
        <f>SUM(AF27:AQ27)</f>
        <v>77</v>
      </c>
      <c r="AF27" s="518"/>
      <c r="AG27" s="519"/>
      <c r="AH27" s="520">
        <f>(COUNTIF($C$12:$AA$20,AH23))-(COUNTIF($C$13:$AA$13,AH23))+(COUNTIF($C$5:$AA$5,AH2))</f>
        <v>19</v>
      </c>
      <c r="AI27" s="520">
        <f t="shared" ref="AI27:AQ27" si="4">(COUNTIF($C$12:$AA$20,AI23))-(COUNTIF($C$13:$AA$13,AI23))</f>
        <v>9</v>
      </c>
      <c r="AJ27" s="520">
        <f t="shared" si="4"/>
        <v>4</v>
      </c>
      <c r="AK27" s="520">
        <f t="shared" si="4"/>
        <v>19</v>
      </c>
      <c r="AL27" s="520">
        <f t="shared" si="4"/>
        <v>13</v>
      </c>
      <c r="AM27" s="520">
        <f t="shared" si="4"/>
        <v>2</v>
      </c>
      <c r="AN27" s="520">
        <f t="shared" si="4"/>
        <v>4</v>
      </c>
      <c r="AO27" s="520">
        <f t="shared" si="4"/>
        <v>4</v>
      </c>
      <c r="AP27" s="520">
        <f t="shared" si="4"/>
        <v>2</v>
      </c>
      <c r="AQ27" s="521">
        <f t="shared" si="4"/>
        <v>1</v>
      </c>
    </row>
    <row r="28" spans="1:43" ht="15.5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s="441" t="s">
        <v>249</v>
      </c>
      <c r="AE28" s="488">
        <f>SUM(AF28:AQ28)</f>
        <v>248.125</v>
      </c>
      <c r="AF28" s="465">
        <f>COUNTIF($C$4:$AA$4,$AF$23)*$AB$4+COUNTIF($C$5:$AA$5,$AF$23)*$AB$5+COUNTIF($C$6:$AA$6,$AF$23)*$AB$6+COUNTIF($C$7:$AA$7,$AF$23)*$AB$7+COUNTIF($C$8:$AA$8,$AF$23)*$AB$8+COUNTIF($C$9:$AA$9,$AF$23)*$AB$9+COUNTIF($C$10:$AA$10,$AF$23)*$AB$10+COUNTIF($C$11:$AA$11,$AF$23)*$AB$11+COUNTIF($C$12:$AA$12,$AF$23)*$AB$12+COUNTIF($C$13:$AA$13,$AF$23)*$AB$13+COUNTIF($C$14:$AA$14,$AF$23)*$AB$14+COUNTIF($C$15:$AA$15,$AF$23)*$AB$15+COUNTIF($C$16:$AA$16,$AF$23)*$AB$16+COUNTIF($D$17:$AA$17,$AF$23)*$AB$17+COUNTIF($C$18:$AA$18,$AF$23)*$AB$18+COUNTIF($C$19:$AA$19,$AF$23)*$AB$19+COUNTIF($C$20:$AA$20,$AF$23)*$AB$20+COUNTIF($C$21:$AA$21,$AF$23)*$AB$21+COUNTIF($C$22:$AA$22,$AF$23)*$AB$22+COUNTIF($C$23:$AA$23,$AF$23)*$AB$23+COUNTIF($C$24:$AA$24,$AF$23)*$AB$24+COUNTIF($C$25:$AA$25,$AF$23)*$AB$25+COUNTIF($C$26:$AA$26,$AF$23)*$AB$26+COUNTIF($C$27:$AA$27,$AF$23)*$AB$27+COUNTIF($C$28:$AA$28,$AF$23)*$AB$28+COUNTIF($C$29:$AA$29,$AF$23)*$AB$29+COUNTIF($C$30:$AA$30,$AF$23)*$AB$30+COUNTIF($C$31:$AA$31,$AF$23)*$AB$31+COUNTIF($C$32:$AA$32,$AF$23)*$AB$32+COUNTIF($C$33:$AA$33,$AF$23)*$AB$33</f>
        <v>0</v>
      </c>
      <c r="AG28" s="295">
        <f>4+4+4.25+7.125+3.25</f>
        <v>22.625</v>
      </c>
      <c r="AH28" s="295">
        <f>COUNTIF($C$4:$AA$4,$AH$23)*$AB$4+COUNTIF($C$5:$AA$5,$AH$23)*$AB$5+COUNTIF($C$6:$AA$6,$AH$23)*$AB$6+COUNTIF($C$7:$AA$7,$AH$23)*$AB$7+COUNTIF($H$8:$AA$8,$AH$23)*$AB$8+COUNTIF($C$9:$AA$9,$AH$23)*$AB$9+COUNTIF($C$10:$AA$10,$AH$23)*$AB$10+COUNTIF($C$11:$AA$11,$AH$23)*$AB$11+COUNTIF($C$12:$AA$12,$AH$23)*$AB$12+COUNTIF($D$13:$AA$13,$AH$23)*$AB$13+COUNTIF($C$14:$AA$14,$AH$23)*$AB$14+COUNTIF($C$15:$AA$15,$AH$23)*$AB$15+COUNTIF($C$16:$AA$16,$AH$23)*$AB$16+COUNTIF($D$17:$AA$17,$AH$23)*$AB$17+COUNTIF($D$18:$AA$18,$AH$23)*$AB$18+COUNTIF($C$19:$AA$19,$AH$23)*$AB$19+COUNTIF($C$20:$AA$20,$AH$23)*$AB$20+COUNTIF($C$21:$AA$21,$AH$23)*$AB$21+COUNTIF($C$22:$AA$22,$AH$23)*$AB$22+COUNTIF($C$23:$AA$23,$AH$23)*$AB$23+COUNTIF($C$24:$AA$24,$AH$23)*$AB$24+COUNTIF($C$25:$AA$25,$AH$23)*$AB$25+COUNTIF($C$26:$AA$26,$AH$23)*$AB$26+COUNTIF($C$27:$AA$27,$AH$23)*$AB$27+COUNTIF($C$28:$AA$28,$AH$23)*$AB$28+COUNTIF($C$29:$AA$29,$AH$23)*$AB$29+COUNTIF($C$30:$AA$30,$AH$23)*$AB$30+COUNTIF($C$31:$AA$31,$AH$23)*$AB$31+COUNTIF($C$32:$AA$32,$AH$23)*$AB$32+COUNTIF($C$33:$AA$33,$AH$23)*$AB$33</f>
        <v>55.5</v>
      </c>
      <c r="AI28" s="295">
        <f>COUNTIF($C$4:$AA$4,$AI$23)*$AB$4+COUNTIF($C$5:$AA$5,$AI$23)*$AB$5+COUNTIF($C$6:$AA$6,$AI$23)*$AB$6+COUNTIF($C$7:$AA$7,$AI$23)*$AB$7+COUNTIF($H$8:$AA$8,$AI$23)*$AB$8+COUNTIF($C$9:$AA$9,$AI$23)*$AB$9+COUNTIF($C$10:$AA$10,$AI$23)*0.5*$AB$10+COUNTIF($C$11:$AA$11,$AI$23)*$AB$11+COUNTIF($C$12:$AA$12,$AI$23)*$AB$12+COUNTIF($D$13:$AA$13,$AI$23)*$AB$13+COUNTIF($C$14:$AA$14,$AI$23)*$AB$14+COUNTIF($C$15:$AA$15,$AI$23)*$AB$15+COUNTIF($C$16:$AA$16,$AI$23)*$AB$16+COUNTIF($D$17:$AA$17,$AI$23)*$AB$17+COUNTIF($D$18:$AA$18,$AI$23)*$AB$18+COUNTIF($C$19:$AA$19,$AI$23)*$AB$19+COUNTIF($C$20:$AA$20,$AI$23)*$AB$20+COUNTIF($C$21:$AA$21,$AI$23)*$AB$21+COUNTIF($C$22:$AA$22,$AI$23)*$AB$22+COUNTIF($C$23:$AA$23,$AI$23)*$AB$23+COUNTIF($C$24:$AA$24,$AI$23)*$AB$24+COUNTIF($C$25:$AA$25,$AI$23)*$AB$25+COUNTIF($C$26:$AA$26,$AI$23)*$AB$26+COUNTIF($C$27:$AA$27,$AI$23)*$AB$27+COUNTIF($C$28:$AA$28,$AI$23)*$AB$28+COUNTIF($C$29:$AA$29,$AI$23)*$AB$29+COUNTIF($C$30:$AA$30,$AI$23)*$AB$30+COUNTIF($C$31:$AA$31,$AI$23)*$AB$31+COUNTIF($C$32:$AA$32,$AI$23)*$AB$32+COUNTIF($C$33:$AA$33,$AI$23)*$AB$33</f>
        <v>45.75</v>
      </c>
      <c r="AJ28" s="295">
        <f>COUNTIF($C$4:$AA$4,$AJ$23)*$AB$4+COUNTIF($C$5:$AA$5,$AJ$23)*$AB$5+COUNTIF($C$6:$AA$6,$AJ$23)*$AB$6+COUNTIF($C$7:$AA$7,$AJ$23)*$AB$7+COUNTIF($H$8:$AA$8,$AJ$23)*$AB$8+COUNTIF($C$9:$AA$9,$AJ$23)*$AB$9+COUNTIF($C$10:$AA$10,$AJ$23)*0.5*$AB$10+COUNTIF($C$11:$AA$11,$AJ$23)*$AB$11+COUNTIF($C$12:$AA$12,$AJ$23)*$AB$12+COUNTIF($D$13:$AA$13,$AJ$23)*$AB$13+COUNTIF($C$14:$AA$14,$AJ$23)*$AB$14+COUNTIF($C$15:$AA$15,$AJ$23)*$AB$15+COUNTIF($C$16:$AA$16,$AJ$23)*$AB$16+COUNTIF($D$17:$AA$17,$AJ$23)*$AB$17+COUNTIF($D$18:$AA$18,$AJ$23)*$AB$18+COUNTIF($C$19:$AA$19,$AJ$23)*$AB$19+COUNTIF($C$20:$AA$20,$AJ$23)*$AB$20+COUNTIF($C$21:$AA$21,$AJ$23)*$AB$21+COUNTIF($C$22:$AA$22,$AJ$23)*$AB$22+COUNTIF($C$23:$AA$23,$AJ$23)*$AB$23+COUNTIF($C$24:$AA$24,$AJ$23)*$AB$24+COUNTIF($C$25:$AA$25,$AJ$23)*$AB$25+COUNTIF($C$26:$AA$26,$AJ$23)*$AB$26+COUNTIF($C$27:$AA$27,$AJ$23)*$AB$27+COUNTIF($C$28:$AA$28,$AJ$23)*$AB$28+COUNTIF($C$29:$AA$29,$AJ$23)*$AB$29+COUNTIF($C$30:$AA$30,$AJ$23)*$AB$30+COUNTIF($C$31:$AA$31,$AJ$23)*$AB$31+COUNTIF($C$32:$AA$32,$AJ$23)*$AB$32+COUNTIF($C$33:$AA$33,$AJ$23)*$AB$33</f>
        <v>7</v>
      </c>
      <c r="AK28" s="295">
        <f>COUNTIF($C$4:$AA$4,$AK$23)*$AB$4+COUNTIF($C$5:$AA$5,$AK$23)*$AB$5+COUNTIF($C$6:$AA$6,$AK$23)*$AB$6+COUNTIF($C$7:$AA$7,$AK$23)*$AB$7+COUNTIF($H$8:$AA$8,$AK$23)*$AB$8+COUNTIF($C$9:$AA$9,$AK$23)*$AB$9+COUNTIF($C$10:$AA$10,$AK$23)*$AB$10+COUNTIF($C$11:$AA$11,$AK$23)*$AB$11+COUNTIF($C$12:$AA$12,$AK$23)*$AB$12+COUNTIF($D$13:$AA$13,$AK$23)*$AB$13+COUNTIF($C$14:$AA$14,$AK$23)*$AB$14+COUNTIF($C$15:$AA$15,$AK$23)*$AB$15+COUNTIF($C$16:$AA$16,$AK$23)*$AB$16+COUNTIF($D$17:$AA$17,$AK$23)*$AB$17+COUNTIF($D$18:$AA$18,$AK$23)*$AB$18+COUNTIF($C$19:$AA$19,$AK$23)*$AB$19+COUNTIF($C$20:$AA$20,$AK$23)*$AB$20+COUNTIF($C$21:$AA$21,$AK$23)*$AB$21+COUNTIF($C$22:$AA$22,$AK$23)*$AB$22+COUNTIF($C$23:$AA$23,$AK$23)*$AB$23+COUNTIF($C$24:$AA$24,$AK$23)*$AB$24+COUNTIF($C$25:$AA$25,$AK$23)*$AB$25+COUNTIF($C$26:$AA$26,$AK$23)*$AB$26+COUNTIF($C$27:$AA$27,$AK$23)*$AB$27+COUNTIF($C$28:$AA$28,$AK$23)*$AB$28+COUNTIF($C$29:$AA$29,$AK$23)*$AB$29+COUNTIF($C$30:$AA$30,$AK$23)*$AB$30+COUNTIF($C$31:$AA$31,$AK$23)*$AB$31+COUNTIF($C$32:$AA$32,$AK$23)*$AB$32+COUNTIF($C$33:$AA$33,$AK$23)*$AB$33</f>
        <v>45.75</v>
      </c>
      <c r="AL28" s="295">
        <f>COUNTIF($C$4:$AA$4,$AL$23)*$AB$4+COUNTIF($C$5:$AA$5,$AL$23)*$AB$5+COUNTIF($C$6:$AA$6,$AL$23)*$AB$6+COUNTIF($C$7:$AA$7,$AL$23)*$AB$7+COUNTIF($H$8:$AA$8,$AL$23)*$AB$8+COUNTIF($C$9:$AA$9,$AL$23)*$AB$9+COUNTIF($C$10:$AA$10,$AL$23)*$AB$10+COUNTIF($C$11:$AA$11,$AL$23)*$AB$11+COUNTIF($C$12:$AA$12,$AL$23)*$AB$12+COUNTIF($D$13:$AA$13,$AL$23)*$AB$13+COUNTIF($C$14:$AA$14,$AL$23)*$AB$14+COUNTIF($C$15:$AA$15,$AL$23)*$AB$15+COUNTIF($C$16:$AA$16,$AL$23)*$AB$16+COUNTIF($D$17:$AA$17,$AL$23)*$AB$17+COUNTIF($D$18:$AA$18,$AL$23)*$AB$18+COUNTIF($C$19:$AA$19,$AL$23)*$AB$19+COUNTIF($C$20:$AA$20,$AL$23)*$AB$20+COUNTIF($C$21:$AA$21,$AL$23)*$AB$21+COUNTIF($C$22:$AA$22,$AL$23)*$AB$22+COUNTIF($C$23:$AA$23,$AL$23)*$AB$23+COUNTIF($C$24:$AA$24,$AL$23)*$AB$24+COUNTIF($C$25:$AA$25,$AL$23)*$AB$25+COUNTIF($C$26:$AA$26,$AL$23)*$AB$26+COUNTIF($C$27:$AA$27,$AL$23)*$AB$27+COUNTIF($C$28:$AA$28,$AL$23)*$AB$28+COUNTIF($C$29:$AA$29,$AL$23)*$AB$29+COUNTIF($C$30:$AA$30,$AL$23)*$AB$30+COUNTIF($C$31:$AA$31,$AL$23)*$AB$31+COUNTIF($C$32:$AA$32,$AL$23)*$AB$32+COUNTIF($C$33:$AA$33,$AL$23)*$AB$33</f>
        <v>23</v>
      </c>
      <c r="AM28" s="295">
        <f>COUNTIF($C$4:$AA$4,$AM$23)*$AB$4+COUNTIF($C$5:$AA$5,$AM$23)*$AB$5+COUNTIF($C$6:$AA$6,$AM$23)*$AB$6+COUNTIF($C$7:$AA$7,$AM$23)*$AB$7+COUNTIF($H$8:$AA$8,$AM$23)*$AB$8+COUNTIF($C$9:$AA$9,$AM$23)*$AB$9+COUNTIF($C$10:$AA$10,$AM$23)*0.5*$AB$10+COUNTIF($C$11:$AA$11,$AM$23)*$AB$11+COUNTIF($C$12:$AA$12,$AM$23)*$AB$12+COUNTIF($D$13:$AA$13,$AM$23)*$AB$13+COUNTIF($C$14:$AA$14,$AM$23)*$AB$14+COUNTIF($C$15:$AA$15,$AM$23)*$AB$15+COUNTIF($C$16:$AA$16,$AM$23)*$AB$16+COUNTIF($D$17:$AA$17,$AM$23)*$AB$17+COUNTIF($D$18:$AA$18,$AM$23)*$AB$18+COUNTIF($C$19:$AA$19,$AM$23)*$AB$19+COUNTIF($C$20:$AA$20,$AM$23)*$AB$20+COUNTIF($C$21:$AA$21,$AM$23)*$AB$21+COUNTIF($C$22:$AA$22,$AM$23)*$AB$22+COUNTIF($C$23:$AA$23,$AM$23)*$AB$23+COUNTIF($C$24:$AA$24,$AM$23)*$AB$24+COUNTIF($C$25:$AA$25,$AM$23)*$AB$25+COUNTIF($C$26:$AA$26,$AM$23)*$AB$26+COUNTIF($C$27:$AA$27,$AM$23)*$AB$27+COUNTIF($C$28:$AA$28,$AM$23)*$AB$28+COUNTIF($C$29:$AA$29,$AM$23)*$AB$29+COUNTIF($C$30:$AA$30,$AM$23)*$AB$30+COUNTIF($C$31:$AA$31,$AM$23)*$AB$31+COUNTIF($C$32:$AA$32,$AM$23)*$AB$32+COUNTIF($C$33:$AA$33,$AM$23)*$AB$33</f>
        <v>3</v>
      </c>
      <c r="AN28" s="295">
        <f>COUNTIF($C$4:$AA$4,$AN$23)*$AB$4+COUNTIF($C$5:$AA$5,$AN$23)*$AB$5+COUNTIF($C$6:$AA$6,$AN$23)*$AB$6+COUNTIF($C$7:$AA$7,$AN$23)*$AB$7+COUNTIF($H$8:$AA$8,$AN$23)*$AB$8+COUNTIF($C$9:$AA$9,$AN$23)*$AB$9+COUNTIF($C$10:$AA$10,$AN$23)*$AB$10+COUNTIF($C$11:$AA$11,$AN$23)*$AB$11+COUNTIF($C$12:$AA$12,$AN$23)*$AB$12+COUNTIF($D$13:$AA$13,$AN$23)*$AB$13+COUNTIF($C$14:$AA$14,$AN$23)*$AB$14+COUNTIF($C$15:$AA$15,$AN$23)*$AB$15+COUNTIF($C$16:$AA$16,$AN$23)*$AB$16+COUNTIF($D$17:$AA$17,$AN$23)*$AB$17+COUNTIF($D$18:$AA$18,$AN$23)*$AB$18+COUNTIF($C$19:$AA$19,$AN$23)*$AB$19+COUNTIF($C$20:$AA$20,$AN$23)*$AB$20+COUNTIF($C$21:$AA$21,$AN$23)*$AB$21+COUNTIF($C$22:$AA$22,$AN$23)*$AB$22+COUNTIF($C$23:$AA$23,$AN$23)*$AB$23+COUNTIF($C$24:$AA$24,$AN$23)*$AB$24+COUNTIF($C$25:$AA$25,$AN$23)*$AB$25+COUNTIF($C$26:$AA$26,$AN$23)*$AB$26+COUNTIF($C$27:$AA$27,$AN$23)*$AB$27+COUNTIF($C$28:$AA$28,$AN$23)*$AB$28+COUNTIF($C$29:$AA$29,$AN$23)*$AB$29+COUNTIF($C$30:$AA$30,$AN$23)*$AB$30+COUNTIF($C$31:$AA$31,$AN$23)*$AB$31+COUNTIF($C$32:$AA$32,$AN$23)*$AB$32+COUNTIF($C$33:$AA$33,$AN$23)*$AB$33</f>
        <v>28.25</v>
      </c>
      <c r="AO28" s="295">
        <f>COUNTIF($C$4:$AA$4,$AO$23)*$AB$4+COUNTIF($C$5:$AA$5,$AO$23)*$AB$5+COUNTIF($C$6:$AA$6,$AO$23)*$AB$6+COUNTIF($C$7:$AA$7,$AO$23)*$AB$7+COUNTIF($H$8:$AA$8,$AO$23)*$AB$8+COUNTIF($C$9:$AA$9,$AO$23)*$AB$9+COUNTIF($C$10:$AA$10,$AO$23)*$AB$10+COUNTIF($C$11:$AA$11,$AO$23)*$AB$11+COUNTIF($C$12:$AA$12,$AO$23)*$AB$12+COUNTIF($D$13:$AA$13,$AO$23)*$AB$13+COUNTIF($C$14:$AA$14,$AO$23)*$AB$14+COUNTIF($C$15:$AA$15,$AO$23)*$AB$15+COUNTIF($C$16:$AA$16,$AO$23)*$AB$16+COUNTIF($D$17:$AA$17,$AO$23)*$AB$17+COUNTIF($D$18:$AA$18,$AO$23)*$AB$18+COUNTIF($C$19:$AA$19,$AO$23)*$AB$19+COUNTIF($C$20:$AA$20,$AO$23)*$AB$20+COUNTIF($C$21:$AA$21,$AO$23)*$AB$21+COUNTIF($C$22:$AA$22,$AO$23)*$AB$22+COUNTIF($C$23:$AA$23,$AO$23)*$AB$23+COUNTIF($C$24:$AA$24,$AO$23)*$AB$24+COUNTIF($C$25:$AA$25,$AO$23)*$AB$25+COUNTIF($C$26:$AA$26,$AO$23)*$AB$26+COUNTIF($C$27:$AA$27,$AO$23)*$AB$27+COUNTIF($C$28:$AA$28,$AO$23)*$AB$28+COUNTIF($C$29:$AA$29,$AO$23)*$AB$29+COUNTIF($C$30:$AA$30,$AO$23)*$AB$30+COUNTIF($C$31:$AA$31,$AO$23)*$AB$31+COUNTIF($C$32:$AA$32,$AO$23)*$AB$32+COUNTIF($C$33:$AA$33,$AO$23)*$AB$33</f>
        <v>6</v>
      </c>
      <c r="AP28" s="295">
        <f>COUNTIF($C$4:$AA$4,$AP$23)*$AB$4+COUNTIF($C$5:$AA$5,$AP$23)*$AB$5+COUNTIF($C$6:$AA$6,$AP$23)*$AB$6+COUNTIF($C$7:$AA$7,$AP$23)*$AB$7+COUNTIF($H$8:$AA$8,$AP$23)*$AB$8+COUNTIF($C$9:$AA$9,$AP$23)*$AB$9+COUNTIF($C$10:$AA$10,$AP$23)*$AB$10+COUNTIF($C$11:$AA$11,$AP$23)*$AB$11+COUNTIF($C$12:$AA$12,$AP$23)*$AB$12+COUNTIF($D$13:$AA$13,$AP$23)*$AB$13+COUNTIF($C$14:$AA$14,$AP$23)*$AB$14+COUNTIF($C$15:$AA$15,$AP$23)*$AB$15+COUNTIF($C$16:$AA$16,$AP$23)*$AB$16+COUNTIF($D$17:$AA$17,$AP$23)*$AB$17+COUNTIF($D$18:$AA$18,$AP$23)*$AB$18+COUNTIF($C$19:$AA$19,$AP$23)*$AB$19+COUNTIF($C$20:$AA$20,$AP$23)*$AB$20+COUNTIF($C$21:$AA$21,$AP$23)*$AB$21+COUNTIF($C$22:$AA$22,$AP$23)*$AB$22+COUNTIF($C$23:$AA$23,$AP$23)*$AB$23+COUNTIF($C$24:$AA$24,$AP$23)*$AB$24+COUNTIF($C$25:$AA$25,$AP$23)*$AB$25+COUNTIF($C$26:$AA$26,$AP$23)*$AB$26+COUNTIF($C$27:$AA$27,$AP$23)*$AB$27+COUNTIF($C$28:$AA$28,$AP$23)*$AB$28+COUNTIF($C$29:$AA$29,$AP$23)*$AB$29+COUNTIF($C$30:$AA$30,$AP$23)*$AB$30+COUNTIF($C$31:$AA$31,$AP$23)*$AB$31+COUNTIF($C$32:$AA$32,$AP$23)*$AB$32+COUNTIF($C$33:$AA$33,$AP$23)*$AB$33</f>
        <v>10</v>
      </c>
      <c r="AQ28" s="466">
        <f>AQ25*1.25</f>
        <v>1.25</v>
      </c>
    </row>
    <row r="29" spans="1:43" ht="15.5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D29" s="441" t="s">
        <v>240</v>
      </c>
      <c r="AE29" s="487"/>
      <c r="AF29" s="467"/>
      <c r="AG29" s="294"/>
      <c r="AH29" s="306">
        <f t="shared" ref="AH29:AQ29" si="5">AH25/AH24</f>
        <v>6.25</v>
      </c>
      <c r="AI29" s="306">
        <f t="shared" si="5"/>
        <v>6.5</v>
      </c>
      <c r="AJ29" s="306">
        <f t="shared" si="5"/>
        <v>5</v>
      </c>
      <c r="AK29" s="306">
        <f t="shared" si="5"/>
        <v>7</v>
      </c>
      <c r="AL29" s="306">
        <f t="shared" si="5"/>
        <v>4.125</v>
      </c>
      <c r="AM29" s="306">
        <f t="shared" si="5"/>
        <v>2</v>
      </c>
      <c r="AN29" s="306">
        <f t="shared" si="5"/>
        <v>7.25</v>
      </c>
      <c r="AO29" s="306">
        <f t="shared" si="5"/>
        <v>2</v>
      </c>
      <c r="AP29" s="306">
        <f t="shared" si="5"/>
        <v>7</v>
      </c>
      <c r="AQ29" s="468">
        <f t="shared" si="5"/>
        <v>1</v>
      </c>
    </row>
    <row r="30" spans="1:43" ht="15.5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/>
      <c r="Z30" s="41"/>
      <c r="AA30" s="44"/>
      <c r="AB30" s="288">
        <v>0.5</v>
      </c>
      <c r="AD30" s="441" t="s">
        <v>250</v>
      </c>
      <c r="AE30" s="488">
        <f>(AE28-AG28)/AE31</f>
        <v>6.833333333333333</v>
      </c>
      <c r="AF30" s="465">
        <f>AF28/AF31</f>
        <v>0</v>
      </c>
      <c r="AG30" s="295"/>
      <c r="AH30" s="295">
        <f>(AH28-4)/AH24</f>
        <v>6.4375</v>
      </c>
      <c r="AI30" s="295">
        <f>(AI28)/AI24</f>
        <v>6.5357142857142856</v>
      </c>
      <c r="AJ30" s="295">
        <f>(AJ28)/AJ24</f>
        <v>7</v>
      </c>
      <c r="AK30" s="295">
        <f>(AK28-4)/AK24</f>
        <v>6.958333333333333</v>
      </c>
      <c r="AL30" s="295">
        <f>(AL28-5.75)/AL24</f>
        <v>4.3125</v>
      </c>
      <c r="AM30" s="295">
        <f>(AM28)/AM24</f>
        <v>3</v>
      </c>
      <c r="AN30" s="295">
        <f>(AN28-3.25)/AN24</f>
        <v>6.25</v>
      </c>
      <c r="AO30" s="295">
        <f>AO28/AO24</f>
        <v>3</v>
      </c>
      <c r="AP30" s="295">
        <f>(AP28-1.25)/AP24</f>
        <v>4.375</v>
      </c>
      <c r="AQ30" s="466">
        <f>AQ28/AQ24</f>
        <v>1.25</v>
      </c>
    </row>
    <row r="31" spans="1:43" ht="15.5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D31" s="450" t="s">
        <v>101</v>
      </c>
      <c r="AE31" s="489">
        <v>33</v>
      </c>
      <c r="AF31" s="469">
        <v>1</v>
      </c>
      <c r="AG31" s="452"/>
      <c r="AH31" s="453">
        <v>8</v>
      </c>
      <c r="AI31" s="453">
        <v>7</v>
      </c>
      <c r="AJ31" s="453">
        <v>1</v>
      </c>
      <c r="AK31" s="453">
        <v>6</v>
      </c>
      <c r="AL31" s="453">
        <v>4</v>
      </c>
      <c r="AM31" s="453">
        <v>1</v>
      </c>
      <c r="AN31" s="453">
        <v>4</v>
      </c>
      <c r="AO31" s="454">
        <v>2</v>
      </c>
      <c r="AP31" s="454">
        <v>2</v>
      </c>
      <c r="AQ31" s="470">
        <v>1</v>
      </c>
    </row>
    <row r="32" spans="1:43" ht="15.5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D32" s="450" t="s">
        <v>254</v>
      </c>
      <c r="AE32" s="489">
        <f>(AE24-7)*25</f>
        <v>825</v>
      </c>
      <c r="AF32" s="471">
        <f t="shared" ref="AF32:AQ32" si="6">AF24*25</f>
        <v>25</v>
      </c>
      <c r="AG32" s="455">
        <f t="shared" si="6"/>
        <v>75</v>
      </c>
      <c r="AH32" s="455">
        <f t="shared" si="6"/>
        <v>200</v>
      </c>
      <c r="AI32" s="455">
        <f t="shared" si="6"/>
        <v>175</v>
      </c>
      <c r="AJ32" s="455">
        <f t="shared" si="6"/>
        <v>25</v>
      </c>
      <c r="AK32" s="455">
        <f t="shared" si="6"/>
        <v>150</v>
      </c>
      <c r="AL32" s="455">
        <f t="shared" si="6"/>
        <v>100</v>
      </c>
      <c r="AM32" s="455">
        <f t="shared" si="6"/>
        <v>25</v>
      </c>
      <c r="AN32" s="455">
        <f t="shared" si="6"/>
        <v>100</v>
      </c>
      <c r="AO32" s="455">
        <f t="shared" si="6"/>
        <v>50</v>
      </c>
      <c r="AP32" s="455">
        <f t="shared" si="6"/>
        <v>50</v>
      </c>
      <c r="AQ32" s="456">
        <f t="shared" si="6"/>
        <v>25</v>
      </c>
    </row>
    <row r="33" spans="1:43" ht="16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D33" s="442" t="s">
        <v>292</v>
      </c>
      <c r="AE33" s="490">
        <f>AH33+AI33+AK33+AL33+AN33+AP33</f>
        <v>400</v>
      </c>
      <c r="AF33" s="472"/>
      <c r="AG33" s="298"/>
      <c r="AH33" s="299">
        <f>25*2*2</f>
        <v>100</v>
      </c>
      <c r="AI33" s="299">
        <f>25*2*2</f>
        <v>100</v>
      </c>
      <c r="AJ33" s="299"/>
      <c r="AK33" s="300">
        <f>25*2</f>
        <v>50</v>
      </c>
      <c r="AL33" s="300">
        <f t="shared" ref="AL33:AP33" si="7">25*2</f>
        <v>50</v>
      </c>
      <c r="AM33" s="300"/>
      <c r="AN33" s="300">
        <f t="shared" si="7"/>
        <v>50</v>
      </c>
      <c r="AO33" s="300"/>
      <c r="AP33" s="300">
        <f t="shared" si="7"/>
        <v>50</v>
      </c>
      <c r="AQ33" s="473"/>
    </row>
    <row r="34" spans="1:43" ht="15.5" x14ac:dyDescent="0.35">
      <c r="B34" s="529" t="s">
        <v>310</v>
      </c>
      <c r="G34" s="528">
        <f>3/10</f>
        <v>0.3</v>
      </c>
      <c r="L34" s="527">
        <f>2/10</f>
        <v>0.2</v>
      </c>
      <c r="Q34" s="527">
        <f>3/10</f>
        <v>0.3</v>
      </c>
      <c r="V34" s="527">
        <f>2/10</f>
        <v>0.2</v>
      </c>
      <c r="AA34" s="527">
        <f>3/10</f>
        <v>0.3</v>
      </c>
      <c r="AD34" s="443" t="s">
        <v>90</v>
      </c>
      <c r="AE34" s="491">
        <f>(AE33-9)/AE24</f>
        <v>9.7750000000000004</v>
      </c>
      <c r="AF34" s="474"/>
      <c r="AG34" s="307"/>
      <c r="AH34" s="307">
        <f>AH33/AH24</f>
        <v>12.5</v>
      </c>
      <c r="AI34" s="307">
        <f>AI33/AI24</f>
        <v>14.285714285714286</v>
      </c>
      <c r="AJ34" s="307"/>
      <c r="AK34" s="307">
        <f>AK33/AK24</f>
        <v>8.3333333333333339</v>
      </c>
      <c r="AL34" s="307">
        <f>AL33/AL24</f>
        <v>12.5</v>
      </c>
      <c r="AM34" s="307"/>
      <c r="AN34" s="307">
        <f>AN33/AN24</f>
        <v>12.5</v>
      </c>
      <c r="AO34" s="307">
        <f>AO33/AO24</f>
        <v>0</v>
      </c>
      <c r="AP34" s="307">
        <f>AP33/AP24</f>
        <v>25</v>
      </c>
      <c r="AQ34" s="475">
        <f>AQ33/AQ24</f>
        <v>0</v>
      </c>
    </row>
    <row r="35" spans="1:43" ht="15.5" x14ac:dyDescent="0.35">
      <c r="G35" s="528"/>
      <c r="AD35" s="444" t="s">
        <v>43</v>
      </c>
      <c r="AE35" s="492">
        <f>AE32-AE28-AE33</f>
        <v>176.875</v>
      </c>
      <c r="AF35" s="476"/>
      <c r="AG35" s="305"/>
      <c r="AH35" s="305">
        <f>AH32-AH28-AH33</f>
        <v>44.5</v>
      </c>
      <c r="AI35" s="305">
        <f>AI32-AI28-AI33</f>
        <v>29.25</v>
      </c>
      <c r="AJ35" s="305"/>
      <c r="AK35" s="305">
        <f>AK32-AK28-AK33</f>
        <v>54.25</v>
      </c>
      <c r="AL35" s="305">
        <f>AL32-AL28-AL33</f>
        <v>27</v>
      </c>
      <c r="AM35" s="305"/>
      <c r="AN35" s="305">
        <f>AN32-AN28-AN33</f>
        <v>21.75</v>
      </c>
      <c r="AO35" s="305">
        <f>AO32-AO28-AO33</f>
        <v>44</v>
      </c>
      <c r="AP35" s="305">
        <f>AP32-AP28-AP33</f>
        <v>-10</v>
      </c>
      <c r="AQ35" s="477">
        <f>AQ32-AQ28-AQ33</f>
        <v>23.75</v>
      </c>
    </row>
    <row r="36" spans="1:43" ht="15.5" x14ac:dyDescent="0.35">
      <c r="A36" s="532"/>
      <c r="B36" t="s">
        <v>268</v>
      </c>
      <c r="AD36" s="444" t="s">
        <v>293</v>
      </c>
      <c r="AE36" s="493">
        <f>AE35/33</f>
        <v>5.3598484848484844</v>
      </c>
      <c r="AF36" s="478"/>
      <c r="AG36" s="301"/>
      <c r="AH36" s="329">
        <f>AH35/AH24</f>
        <v>5.5625</v>
      </c>
      <c r="AI36" s="329">
        <f>AI35/AI24</f>
        <v>4.1785714285714288</v>
      </c>
      <c r="AJ36" s="329"/>
      <c r="AK36" s="329">
        <f>AK35/AK24</f>
        <v>9.0416666666666661</v>
      </c>
      <c r="AL36" s="329">
        <f>AL35/AL24</f>
        <v>6.75</v>
      </c>
      <c r="AM36" s="329"/>
      <c r="AN36" s="329">
        <f>AN35/AN24</f>
        <v>5.4375</v>
      </c>
      <c r="AO36" s="329">
        <f>AO35/AO24</f>
        <v>22</v>
      </c>
      <c r="AP36" s="329">
        <f>AP35/AP24</f>
        <v>-5</v>
      </c>
      <c r="AQ36" s="479">
        <f>AQ35/AQ24</f>
        <v>23.75</v>
      </c>
    </row>
    <row r="37" spans="1:43" ht="16" thickBot="1" x14ac:dyDescent="0.4"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445" t="s">
        <v>252</v>
      </c>
      <c r="AE37" s="494">
        <f>AE36/2</f>
        <v>2.6799242424242422</v>
      </c>
      <c r="AF37" s="480"/>
      <c r="AG37" s="481"/>
      <c r="AH37" s="482">
        <f>AH36/2</f>
        <v>2.78125</v>
      </c>
      <c r="AI37" s="482">
        <f>AI36/2</f>
        <v>2.0892857142857144</v>
      </c>
      <c r="AJ37" s="482"/>
      <c r="AK37" s="482">
        <f>AK36/2</f>
        <v>4.520833333333333</v>
      </c>
      <c r="AL37" s="482">
        <f>AL36/2</f>
        <v>3.375</v>
      </c>
      <c r="AM37" s="482"/>
      <c r="AN37" s="482">
        <f>AN36/2</f>
        <v>2.71875</v>
      </c>
      <c r="AO37" s="483"/>
      <c r="AP37" s="483">
        <f>AP36/2</f>
        <v>-2.5</v>
      </c>
      <c r="AQ37" s="484"/>
    </row>
    <row r="38" spans="1:43" x14ac:dyDescent="0.35">
      <c r="B38" s="51" t="s">
        <v>259</v>
      </c>
      <c r="C38" s="411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</row>
    <row r="39" spans="1:43" x14ac:dyDescent="0.35">
      <c r="B39" t="s">
        <v>241</v>
      </c>
      <c r="C39" s="411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</row>
    <row r="40" spans="1:43" x14ac:dyDescent="0.35">
      <c r="B40" t="s">
        <v>242</v>
      </c>
      <c r="C40" s="411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 spans="1:43" x14ac:dyDescent="0.35">
      <c r="B41" t="s">
        <v>243</v>
      </c>
      <c r="C41" s="411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 spans="1:43" x14ac:dyDescent="0.35">
      <c r="B42" t="s">
        <v>244</v>
      </c>
      <c r="C42" s="412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 spans="1:43" x14ac:dyDescent="0.35">
      <c r="B43" t="s">
        <v>245</v>
      </c>
      <c r="C43" s="411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 spans="1:43" x14ac:dyDescent="0.35">
      <c r="B44" t="s">
        <v>309</v>
      </c>
      <c r="C44" s="411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 spans="1:43" x14ac:dyDescent="0.35">
      <c r="B45" t="s">
        <v>247</v>
      </c>
      <c r="C45" s="411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 spans="1:43" x14ac:dyDescent="0.35">
      <c r="B46" t="s">
        <v>248</v>
      </c>
      <c r="C46" s="411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E46" s="287"/>
    </row>
    <row r="47" spans="1:43" x14ac:dyDescent="0.35">
      <c r="B47" s="286"/>
      <c r="C47" s="411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E47" s="287"/>
    </row>
    <row r="48" spans="1:43" x14ac:dyDescent="0.35">
      <c r="B48" s="287"/>
      <c r="C48" s="530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6"/>
      <c r="R48" s="286"/>
      <c r="S48" s="286"/>
      <c r="T48" s="286"/>
      <c r="V48" s="286"/>
      <c r="W48" s="286"/>
      <c r="X48" s="286"/>
      <c r="Y48" s="286"/>
      <c r="Z48" s="286"/>
      <c r="AA48" s="286"/>
      <c r="AB48" s="286"/>
      <c r="AC48" s="286"/>
    </row>
    <row r="49" spans="2:42" x14ac:dyDescent="0.35">
      <c r="B49" s="2"/>
      <c r="C49" s="500" t="s">
        <v>295</v>
      </c>
      <c r="D49" s="504"/>
      <c r="E49" s="505"/>
      <c r="F49" s="505"/>
      <c r="G49" s="505"/>
      <c r="H49" s="505"/>
      <c r="I49" s="504"/>
      <c r="J49" s="504"/>
      <c r="K49" s="504"/>
      <c r="L49" s="504"/>
      <c r="M49" s="504"/>
      <c r="N49" s="504"/>
      <c r="O49" s="504"/>
      <c r="P49" s="196"/>
      <c r="Q49" s="531" t="s">
        <v>296</v>
      </c>
      <c r="AE49" s="413"/>
    </row>
    <row r="50" spans="2:42" x14ac:dyDescent="0.35">
      <c r="B50" s="2" t="s">
        <v>251</v>
      </c>
      <c r="C50" s="501" t="s">
        <v>297</v>
      </c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196"/>
      <c r="Q50" s="41">
        <f>3.5*0.5+1.25</f>
        <v>3</v>
      </c>
      <c r="AE50" s="287"/>
    </row>
    <row r="51" spans="2:42" x14ac:dyDescent="0.35">
      <c r="B51" s="2" t="s">
        <v>298</v>
      </c>
      <c r="C51" s="502" t="s">
        <v>299</v>
      </c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196"/>
      <c r="Q51" s="503">
        <f>2*1.25+1.5</f>
        <v>4</v>
      </c>
      <c r="AE51" s="287"/>
    </row>
    <row r="52" spans="2:42" x14ac:dyDescent="0.35">
      <c r="B52" s="2" t="s">
        <v>300</v>
      </c>
      <c r="C52" s="502" t="s">
        <v>301</v>
      </c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196"/>
      <c r="Q52" s="503">
        <f>2*0.5+2*0.75+1.5</f>
        <v>4</v>
      </c>
      <c r="AE52" s="287"/>
    </row>
    <row r="53" spans="2:42" x14ac:dyDescent="0.35">
      <c r="B53" s="2" t="s">
        <v>302</v>
      </c>
      <c r="C53" s="501" t="s">
        <v>303</v>
      </c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  <c r="P53" s="196"/>
      <c r="Q53" s="41">
        <f>2*1.5+1.25</f>
        <v>4.25</v>
      </c>
      <c r="AP53" s="292"/>
    </row>
    <row r="54" spans="2:42" x14ac:dyDescent="0.35">
      <c r="B54" s="2" t="s">
        <v>304</v>
      </c>
      <c r="C54" s="501" t="s">
        <v>305</v>
      </c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  <c r="P54" s="196"/>
      <c r="Q54" s="41">
        <f>1+3*1.5+1+0.25+0.3*1.25</f>
        <v>7.125</v>
      </c>
      <c r="AP54" s="292"/>
    </row>
    <row r="55" spans="2:42" x14ac:dyDescent="0.35">
      <c r="B55" s="2" t="s">
        <v>306</v>
      </c>
      <c r="C55" s="501" t="s">
        <v>307</v>
      </c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  <c r="P55" s="196"/>
      <c r="Q55" s="41">
        <f>1.25+1+1</f>
        <v>3.25</v>
      </c>
      <c r="AP55" s="292"/>
    </row>
    <row r="56" spans="2:42" x14ac:dyDescent="0.35">
      <c r="B56" s="2" t="s">
        <v>31</v>
      </c>
      <c r="C56" s="501" t="s">
        <v>308</v>
      </c>
      <c r="D56" s="504"/>
      <c r="E56" s="504"/>
      <c r="F56" s="504"/>
      <c r="G56" s="504"/>
      <c r="H56" s="504"/>
      <c r="I56" s="504"/>
      <c r="J56" s="504"/>
      <c r="K56" s="504"/>
      <c r="L56" s="504"/>
      <c r="M56" s="504"/>
      <c r="N56" s="504"/>
      <c r="O56" s="504"/>
      <c r="P56" s="196"/>
      <c r="Q56" s="41">
        <v>1.25</v>
      </c>
      <c r="AP56" s="292"/>
    </row>
    <row r="67" spans="30:41" x14ac:dyDescent="0.35"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</row>
    <row r="68" spans="30:41" ht="15.5" x14ac:dyDescent="0.35">
      <c r="AD68" s="293"/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/>
    </row>
    <row r="69" spans="30:41" ht="15.5" x14ac:dyDescent="0.35">
      <c r="AD69" s="293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</row>
    <row r="70" spans="30:41" x14ac:dyDescent="0.35">
      <c r="AD70" s="292"/>
      <c r="AE70" s="292"/>
      <c r="AF70" s="292"/>
      <c r="AG70" s="292"/>
      <c r="AH70" s="292"/>
      <c r="AI70" s="292"/>
      <c r="AJ70" s="292"/>
      <c r="AK70" s="292"/>
      <c r="AL70" s="292"/>
      <c r="AM70" s="292"/>
      <c r="AN70" s="292"/>
      <c r="AO70" s="292"/>
    </row>
  </sheetData>
  <conditionalFormatting sqref="AF10:AG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0:AG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0:AI10 AK10:AL10 AN10:AQ1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0:AQ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8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151A-808E-40FA-95B0-4CC2D2969B4F}">
  <dimension ref="A1:AS53"/>
  <sheetViews>
    <sheetView tabSelected="1" zoomScale="70" zoomScaleNormal="70" workbookViewId="0">
      <selection activeCell="Q50" sqref="Q50"/>
    </sheetView>
  </sheetViews>
  <sheetFormatPr baseColWidth="10" defaultRowHeight="14.5" x14ac:dyDescent="0.35"/>
  <cols>
    <col min="1" max="1" width="6.7265625" customWidth="1"/>
    <col min="2" max="2" width="13.453125" customWidth="1"/>
    <col min="3" max="27" width="4.81640625" customWidth="1"/>
    <col min="28" max="28" width="6.453125" customWidth="1"/>
    <col min="29" max="29" width="5.81640625" customWidth="1"/>
    <col min="30" max="30" width="38.81640625" customWidth="1"/>
    <col min="31" max="31" width="11.453125" customWidth="1"/>
    <col min="32" max="32" width="8" customWidth="1"/>
    <col min="33" max="33" width="8.26953125" customWidth="1"/>
    <col min="34" max="34" width="7.81640625" customWidth="1"/>
    <col min="35" max="35" width="8.81640625" customWidth="1"/>
    <col min="36" max="36" width="7.81640625" customWidth="1"/>
    <col min="37" max="37" width="8.81640625" customWidth="1"/>
    <col min="39" max="39" width="9" customWidth="1"/>
    <col min="41" max="41" width="11.453125" customWidth="1"/>
    <col min="43" max="43" width="11.453125" customWidth="1"/>
    <col min="44" max="44" width="12.1796875" customWidth="1"/>
    <col min="45" max="45" width="13.1796875" customWidth="1"/>
  </cols>
  <sheetData>
    <row r="1" spans="1:45" ht="26.5" thickBot="1" x14ac:dyDescent="0.4">
      <c r="B1" s="533" t="s">
        <v>315</v>
      </c>
    </row>
    <row r="2" spans="1:45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414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7"/>
      <c r="AP2" s="407"/>
    </row>
    <row r="3" spans="1:45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</row>
    <row r="4" spans="1:45" ht="18.75" customHeight="1" thickBot="1" x14ac:dyDescent="0.6">
      <c r="A4" s="82" t="s">
        <v>11</v>
      </c>
      <c r="B4" s="355" t="s">
        <v>217</v>
      </c>
      <c r="C4" s="84" t="s">
        <v>48</v>
      </c>
      <c r="D4" s="85" t="s">
        <v>48</v>
      </c>
      <c r="E4" s="192"/>
      <c r="F4" s="85" t="s">
        <v>48</v>
      </c>
      <c r="G4" s="86" t="s">
        <v>48</v>
      </c>
      <c r="H4" s="285"/>
      <c r="I4" s="85" t="s">
        <v>48</v>
      </c>
      <c r="J4" s="85" t="s">
        <v>48</v>
      </c>
      <c r="K4" s="347"/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446" t="s">
        <v>286</v>
      </c>
      <c r="AE4" s="485" t="s">
        <v>253</v>
      </c>
      <c r="AF4" s="457" t="s">
        <v>251</v>
      </c>
      <c r="AG4" s="416" t="s">
        <v>102</v>
      </c>
      <c r="AH4" s="417" t="s">
        <v>99</v>
      </c>
      <c r="AI4" s="418" t="s">
        <v>45</v>
      </c>
      <c r="AJ4" s="544" t="s">
        <v>272</v>
      </c>
      <c r="AK4" s="543" t="s">
        <v>312</v>
      </c>
      <c r="AL4" s="419" t="s">
        <v>44</v>
      </c>
      <c r="AM4" s="541" t="s">
        <v>322</v>
      </c>
      <c r="AN4" s="420" t="s">
        <v>97</v>
      </c>
      <c r="AO4" s="542" t="s">
        <v>313</v>
      </c>
      <c r="AP4" s="421" t="s">
        <v>46</v>
      </c>
      <c r="AQ4" s="422" t="s">
        <v>98</v>
      </c>
      <c r="AR4" s="423" t="s">
        <v>47</v>
      </c>
      <c r="AS4" s="458" t="s">
        <v>31</v>
      </c>
    </row>
    <row r="5" spans="1:45" ht="21.75" customHeight="1" x14ac:dyDescent="0.35">
      <c r="A5" s="271" t="s">
        <v>11</v>
      </c>
      <c r="B5" s="356" t="s">
        <v>237</v>
      </c>
      <c r="C5" s="6"/>
      <c r="D5" s="97"/>
      <c r="E5" s="274"/>
      <c r="F5" s="276"/>
      <c r="G5" s="277"/>
      <c r="H5" s="278"/>
      <c r="I5" s="97"/>
      <c r="J5" s="276"/>
      <c r="K5" s="4" t="s">
        <v>48</v>
      </c>
      <c r="L5" s="279"/>
      <c r="M5" s="59"/>
      <c r="N5" s="97"/>
      <c r="O5" s="58"/>
      <c r="P5" s="58"/>
      <c r="Q5" s="61"/>
      <c r="R5" s="59"/>
      <c r="S5" s="58"/>
      <c r="T5" s="58"/>
      <c r="U5" s="402"/>
      <c r="V5" s="61"/>
      <c r="W5" s="59"/>
      <c r="X5" s="58"/>
      <c r="Y5" s="97"/>
      <c r="Z5" s="58"/>
      <c r="AA5" s="61"/>
      <c r="AB5" s="287">
        <v>1.5</v>
      </c>
      <c r="AD5" s="439"/>
      <c r="AE5" s="424"/>
      <c r="AF5" s="459" t="s">
        <v>251</v>
      </c>
      <c r="AG5" s="425" t="s">
        <v>102</v>
      </c>
      <c r="AH5" s="426" t="s">
        <v>48</v>
      </c>
      <c r="AI5" s="427" t="s">
        <v>50</v>
      </c>
      <c r="AJ5" s="427" t="s">
        <v>269</v>
      </c>
      <c r="AK5" s="427" t="s">
        <v>311</v>
      </c>
      <c r="AL5" s="427" t="s">
        <v>49</v>
      </c>
      <c r="AM5" s="427" t="s">
        <v>321</v>
      </c>
      <c r="AN5" s="428" t="s">
        <v>33</v>
      </c>
      <c r="AO5" s="428" t="s">
        <v>274</v>
      </c>
      <c r="AP5" s="427" t="s">
        <v>53</v>
      </c>
      <c r="AQ5" s="429" t="s">
        <v>216</v>
      </c>
      <c r="AR5" s="429" t="s">
        <v>51</v>
      </c>
      <c r="AS5" s="460" t="s">
        <v>31</v>
      </c>
    </row>
    <row r="6" spans="1:45" ht="18.75" customHeight="1" thickBot="1" x14ac:dyDescent="0.4">
      <c r="A6" s="91" t="s">
        <v>11</v>
      </c>
      <c r="B6" s="357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15" t="s">
        <v>49</v>
      </c>
      <c r="X6" s="392"/>
      <c r="Y6" s="534" t="s">
        <v>311</v>
      </c>
      <c r="Z6" s="4" t="s">
        <v>48</v>
      </c>
      <c r="AA6" s="535" t="s">
        <v>311</v>
      </c>
      <c r="AB6" s="287">
        <v>1</v>
      </c>
      <c r="AD6" s="440" t="s">
        <v>100</v>
      </c>
      <c r="AE6" s="486">
        <v>40</v>
      </c>
      <c r="AF6" s="461">
        <v>1</v>
      </c>
      <c r="AG6" s="430">
        <v>3</v>
      </c>
      <c r="AH6" s="431">
        <v>8</v>
      </c>
      <c r="AI6" s="432">
        <v>7</v>
      </c>
      <c r="AJ6" s="447">
        <v>1</v>
      </c>
      <c r="AK6" s="447">
        <v>1</v>
      </c>
      <c r="AL6" s="433">
        <v>6</v>
      </c>
      <c r="AM6" s="433">
        <v>1</v>
      </c>
      <c r="AN6" s="434">
        <v>4</v>
      </c>
      <c r="AO6" s="434">
        <v>1</v>
      </c>
      <c r="AP6" s="435">
        <v>4</v>
      </c>
      <c r="AQ6" s="436">
        <v>2</v>
      </c>
      <c r="AR6" s="437">
        <v>2</v>
      </c>
      <c r="AS6" s="462">
        <v>1</v>
      </c>
    </row>
    <row r="7" spans="1:45" ht="18.75" customHeight="1" x14ac:dyDescent="0.35">
      <c r="A7" s="91" t="s">
        <v>11</v>
      </c>
      <c r="B7" s="358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534" t="s">
        <v>311</v>
      </c>
      <c r="K7" s="534" t="s">
        <v>311</v>
      </c>
      <c r="L7" s="200" t="s">
        <v>48</v>
      </c>
      <c r="M7" s="193" t="s">
        <v>48</v>
      </c>
      <c r="N7" s="4" t="s">
        <v>48</v>
      </c>
      <c r="O7" s="4" t="s">
        <v>48</v>
      </c>
      <c r="P7" s="4" t="s">
        <v>48</v>
      </c>
      <c r="Q7" s="349" t="s">
        <v>269</v>
      </c>
      <c r="R7" s="6"/>
      <c r="S7" s="31"/>
      <c r="T7" s="31"/>
      <c r="U7" s="31"/>
      <c r="V7" s="7"/>
      <c r="W7" s="98" t="s">
        <v>48</v>
      </c>
      <c r="X7" s="4" t="s">
        <v>48</v>
      </c>
      <c r="Y7" s="4" t="s">
        <v>48</v>
      </c>
      <c r="Z7" s="4" t="s">
        <v>48</v>
      </c>
      <c r="AA7" s="9" t="s">
        <v>48</v>
      </c>
      <c r="AB7" s="287">
        <v>1</v>
      </c>
      <c r="AD7" s="441" t="s">
        <v>290</v>
      </c>
      <c r="AE7" s="515">
        <f>SUM(AF7:AS7)</f>
        <v>209</v>
      </c>
      <c r="AF7" s="463">
        <f>(COUNTIF($C$4:$AA$33,$AF$5))</f>
        <v>0</v>
      </c>
      <c r="AG7" s="306"/>
      <c r="AH7" s="511">
        <f>(COUNTIF($C$4:$AA$33,$AH$5))</f>
        <v>47</v>
      </c>
      <c r="AI7" s="512">
        <f>(COUNTIF($C$4:$AA$33,$AI$5))-0.5</f>
        <v>44.5</v>
      </c>
      <c r="AJ7" s="513">
        <f>(COUNTIF($C$4:$AA$33,$AJ$5))</f>
        <v>3</v>
      </c>
      <c r="AK7" s="513">
        <f>(COUNTIF($C$4:$AA$33,$AK$5))</f>
        <v>9</v>
      </c>
      <c r="AL7" s="448">
        <f>(COUNTIF($C$4:$AA$33,$AL$5))</f>
        <v>36</v>
      </c>
      <c r="AM7" s="448">
        <f>(COUNTIF($C$4:$AA$33,$AM$5))</f>
        <v>6</v>
      </c>
      <c r="AN7" s="448">
        <f>(COUNTIF($C$4:$AA$33,$AN$5))-0.5</f>
        <v>15.5</v>
      </c>
      <c r="AO7" s="513">
        <f>(COUNTIF($C$4:$AA$33,$AO$5))</f>
        <v>2</v>
      </c>
      <c r="AP7" s="448">
        <f>(COUNTIF($C$4:$AA$33,$AP$5))</f>
        <v>28</v>
      </c>
      <c r="AQ7" s="448">
        <f>(COUNTIF($C$4:$AA$33,$AQ$5))</f>
        <v>4</v>
      </c>
      <c r="AR7" s="511">
        <f>(COUNTIF($C$4:$AA$33,$AR$5))</f>
        <v>13</v>
      </c>
      <c r="AS7" s="464">
        <f>(COUNTIF($C$4:$AA$33,"SG"))</f>
        <v>1</v>
      </c>
    </row>
    <row r="8" spans="1:45" ht="18.75" customHeight="1" x14ac:dyDescent="0.35">
      <c r="A8" s="91" t="s">
        <v>11</v>
      </c>
      <c r="B8" s="359" t="s">
        <v>222</v>
      </c>
      <c r="C8" s="296"/>
      <c r="D8" s="31"/>
      <c r="E8" s="31"/>
      <c r="F8" s="31"/>
      <c r="G8" s="250"/>
      <c r="H8" s="536" t="s">
        <v>50</v>
      </c>
      <c r="I8" s="408" t="s">
        <v>50</v>
      </c>
      <c r="J8" s="400" t="s">
        <v>33</v>
      </c>
      <c r="K8" s="4" t="s">
        <v>48</v>
      </c>
      <c r="L8" s="404" t="s">
        <v>33</v>
      </c>
      <c r="M8" s="30"/>
      <c r="N8" s="408" t="s">
        <v>50</v>
      </c>
      <c r="O8" s="31"/>
      <c r="P8" s="31"/>
      <c r="Q8" s="250"/>
      <c r="R8" s="405" t="s">
        <v>51</v>
      </c>
      <c r="S8" s="398" t="s">
        <v>51</v>
      </c>
      <c r="T8" s="398" t="s">
        <v>51</v>
      </c>
      <c r="U8" s="398" t="s">
        <v>51</v>
      </c>
      <c r="V8" s="406" t="s">
        <v>51</v>
      </c>
      <c r="W8" s="6"/>
      <c r="X8" s="2"/>
      <c r="Y8" s="2"/>
      <c r="Z8" s="2"/>
      <c r="AA8" s="7"/>
      <c r="AB8" s="287">
        <v>1</v>
      </c>
      <c r="AD8" s="516" t="s">
        <v>291</v>
      </c>
      <c r="AE8" s="517">
        <f>SUM(AF8:AS8)</f>
        <v>133</v>
      </c>
      <c r="AF8" s="518"/>
      <c r="AG8" s="519"/>
      <c r="AH8" s="520">
        <f>(COUNTIF($C$22:$AA$33,AH5))+(COUNTIF($C$13:$AA$13,AH5))+(COUNTIF($C$4:$AA$11,AH5))-(COUNTIF($C$5:$AA$5,#REF!))</f>
        <v>29</v>
      </c>
      <c r="AI8" s="520">
        <f>(COUNTIF($C$22:$AA$33,AI5))+(COUNTIF($C$13:$AA$13,AI5))+(COUNTIF($C$4:$AA$11,AI5))-0.5</f>
        <v>36.5</v>
      </c>
      <c r="AJ8" s="520">
        <f t="shared" ref="AJ8:AS8" si="0">(COUNTIF($C$22:$AA$33,AJ5))+(COUNTIF($C$13:$AA$13,AJ5))+(COUNTIF($C$4:$AA$11,AJ5))</f>
        <v>1</v>
      </c>
      <c r="AK8" s="520">
        <f t="shared" ref="AK8" si="1">(COUNTIF($C$22:$AA$33,AK5))+(COUNTIF($C$13:$AA$13,AK5))+(COUNTIF($C$4:$AA$11,AK5))</f>
        <v>4</v>
      </c>
      <c r="AL8" s="520">
        <f t="shared" si="0"/>
        <v>17</v>
      </c>
      <c r="AM8" s="520">
        <f t="shared" ref="AM8" si="2">(COUNTIF($C$22:$AA$33,AM5))+(COUNTIF($C$13:$AA$13,AM5))+(COUNTIF($C$4:$AA$11,AM5))</f>
        <v>6</v>
      </c>
      <c r="AN8" s="520">
        <f>(COUNTIF($C$22:$AA$33,AN5))+(COUNTIF($C$13:$AA$13,AN5))+(COUNTIF($C$4:$AA$11,AN5))-0.5</f>
        <v>2.5</v>
      </c>
      <c r="AO8" s="520">
        <f t="shared" si="0"/>
        <v>0</v>
      </c>
      <c r="AP8" s="520">
        <f t="shared" si="0"/>
        <v>25</v>
      </c>
      <c r="AQ8" s="520">
        <f t="shared" si="0"/>
        <v>0</v>
      </c>
      <c r="AR8" s="520">
        <f t="shared" si="0"/>
        <v>12</v>
      </c>
      <c r="AS8" s="521">
        <f t="shared" si="0"/>
        <v>0</v>
      </c>
    </row>
    <row r="9" spans="1:45" ht="18.75" hidden="1" customHeight="1" x14ac:dyDescent="0.35">
      <c r="A9" s="91"/>
      <c r="B9" s="360"/>
      <c r="C9" s="361"/>
      <c r="D9" s="362"/>
      <c r="E9" s="363"/>
      <c r="F9" s="363"/>
      <c r="G9" s="364"/>
      <c r="H9" s="365"/>
      <c r="I9" s="363"/>
      <c r="J9" s="363"/>
      <c r="K9" s="363"/>
      <c r="L9" s="366"/>
      <c r="M9" s="367"/>
      <c r="N9" s="363"/>
      <c r="O9" s="363"/>
      <c r="P9" s="363"/>
      <c r="Q9" s="364"/>
      <c r="R9" s="365"/>
      <c r="S9" s="363"/>
      <c r="T9" s="363"/>
      <c r="U9" s="363"/>
      <c r="V9" s="366"/>
      <c r="W9" s="367"/>
      <c r="X9" s="363"/>
      <c r="Y9" s="363"/>
      <c r="Z9" s="363"/>
      <c r="AA9" s="364"/>
      <c r="AB9" s="287"/>
      <c r="AD9" s="516" t="s">
        <v>289</v>
      </c>
      <c r="AE9" s="517">
        <f>SUM(AF9:AS9)</f>
        <v>76</v>
      </c>
      <c r="AF9" s="518"/>
      <c r="AG9" s="519"/>
      <c r="AH9" s="520">
        <f>(COUNTIF($C$12:$AA$20,AH5))-(COUNTIF($C$13:$AA$13,AH5))+(COUNTIF($C$5:$AA$5,#REF!))</f>
        <v>18</v>
      </c>
      <c r="AI9" s="520">
        <f t="shared" ref="AI9:AS9" si="3">(COUNTIF($C$12:$AA$20,AI5))-(COUNTIF($C$13:$AA$13,AI5))</f>
        <v>8</v>
      </c>
      <c r="AJ9" s="520">
        <f t="shared" si="3"/>
        <v>2</v>
      </c>
      <c r="AK9" s="520">
        <f t="shared" ref="AK9" si="4">(COUNTIF($C$12:$AA$20,AK5))-(COUNTIF($C$13:$AA$13,AK5))</f>
        <v>5</v>
      </c>
      <c r="AL9" s="520">
        <f t="shared" si="3"/>
        <v>19</v>
      </c>
      <c r="AM9" s="520">
        <f t="shared" ref="AM9" si="5">(COUNTIF($C$12:$AA$20,AM5))-(COUNTIF($C$13:$AA$13,AM5))</f>
        <v>0</v>
      </c>
      <c r="AN9" s="520">
        <f t="shared" si="3"/>
        <v>13</v>
      </c>
      <c r="AO9" s="520">
        <f t="shared" si="3"/>
        <v>2</v>
      </c>
      <c r="AP9" s="520">
        <f t="shared" si="3"/>
        <v>3</v>
      </c>
      <c r="AQ9" s="520">
        <f t="shared" si="3"/>
        <v>4</v>
      </c>
      <c r="AR9" s="520">
        <f t="shared" si="3"/>
        <v>1</v>
      </c>
      <c r="AS9" s="521">
        <f t="shared" si="3"/>
        <v>1</v>
      </c>
    </row>
    <row r="10" spans="1:45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8" t="s">
        <v>48</v>
      </c>
      <c r="N10" s="15" t="s">
        <v>49</v>
      </c>
      <c r="O10" s="4" t="s">
        <v>48</v>
      </c>
      <c r="P10" s="4" t="s">
        <v>48</v>
      </c>
      <c r="Q10" s="9" t="s">
        <v>48</v>
      </c>
      <c r="R10" s="193" t="s">
        <v>48</v>
      </c>
      <c r="S10" s="297" t="s">
        <v>50</v>
      </c>
      <c r="T10" s="526" t="s">
        <v>33</v>
      </c>
      <c r="U10" s="9" t="s">
        <v>48</v>
      </c>
      <c r="V10" s="9" t="s">
        <v>48</v>
      </c>
      <c r="W10" s="6"/>
      <c r="X10" s="2"/>
      <c r="Y10" s="2"/>
      <c r="Z10" s="2"/>
      <c r="AA10" s="7"/>
      <c r="AB10" s="287">
        <v>0.5</v>
      </c>
      <c r="AD10" s="441" t="s">
        <v>249</v>
      </c>
      <c r="AE10" s="488">
        <f>SUM(AF10:AS10)</f>
        <v>248.625</v>
      </c>
      <c r="AF10" s="465">
        <f>COUNTIF($C$4:$AA$4,$AF$5)*$AB$4+COUNTIF($C$5:$AA$5,$AF$5)*$AB$5+COUNTIF($C$6:$AA$6,$AF$5)*$AB$6+COUNTIF($C$7:$AA$7,$AF$5)*$AB$7+COUNTIF($C$8:$AA$8,$AF$5)*$AB$8+COUNTIF($C$9:$AA$9,$AF$5)*$AB$9+COUNTIF($C$10:$AA$10,$AF$5)*$AB$10+COUNTIF($C$11:$AA$11,$AF$5)*$AB$11+COUNTIF($C$12:$AA$12,$AF$5)*$AB$12+COUNTIF($C$13:$AA$13,$AF$5)*$AB$13+COUNTIF($C$14:$AA$14,$AF$5)*$AB$14+COUNTIF($C$15:$AA$15,$AF$5)*$AB$15+COUNTIF($C$16:$AA$16,$AF$5)*$AB$16+COUNTIF($D$17:$AA$17,$AF$5)*$AB$17+COUNTIF($C$18:$AA$18,$AF$5)*$AB$18+COUNTIF($C$19:$AA$19,$AF$5)*$AB$19+COUNTIF($C$20:$AA$20,$AF$5)*$AB$20+COUNTIF($C$21:$AA$21,$AF$5)*$AB$21+COUNTIF($C$22:$AA$22,$AF$5)*$AB$22+COUNTIF($C$23:$AA$23,$AF$5)*$AB$23+COUNTIF($C$24:$AA$24,$AF$5)*$AB$24+COUNTIF($C$25:$AA$25,$AF$5)*$AB$25+COUNTIF($C$26:$AA$26,$AF$5)*$AB$26+COUNTIF($C$27:$AA$27,$AF$5)*$AB$27+COUNTIF($C$28:$AA$28,$AF$5)*$AB$28+COUNTIF($C$29:$AA$29,$AF$5)*$AB$29+COUNTIF($C$30:$AA$30,$AF$5)*$AB$30+COUNTIF($C$31:$AA$31,$AF$5)*$AB$31+COUNTIF($C$32:$AA$32,$AF$5)*$AB$32+COUNTIF($C$33:$AA$33,$AF$5)*$AB$33</f>
        <v>0</v>
      </c>
      <c r="AG10" s="295">
        <f>4+4+4.25+7.125+3.25</f>
        <v>22.625</v>
      </c>
      <c r="AH10" s="295">
        <f>COUNTIF($C$4:$AA$4,$AH$5)*$AB$4+COUNTIF($C$5:$AA$5,$AH$5)*$AB$5+COUNTIF($C$6:$AA$6,$AH$5)*$AB$6+COUNTIF($C$7:$AA$7,$AH$5)*$AB$7+COUNTIF($H$8:$AA$8,$AH$5)*$AB$8+COUNTIF($C$9:$AA$9,$AH$5)*$AB$9+COUNTIF($C$10:$AA$10,$AH$5)*$AB$10+COUNTIF($C$11:$AA$11,$AH$5)*$AB$11+COUNTIF($C$12:$AA$12,$AH$5)*$AB$12+COUNTIF($D$13:$AA$13,$AH$5)*$AB$13+COUNTIF($C$14:$AA$14,$AH$5)*$AB$14+COUNTIF($C$15:$AA$15,$AH$5)*$AB$15+COUNTIF($C$16:$AA$16,$AH$5)*$AB$16+COUNTIF($D$17:$AA$17,$AH$5)*$AB$17+COUNTIF($D$18:$AA$18,$AH$5)*$AB$18+COUNTIF($C$19:$AA$19,$AH$5)*$AB$19+COUNTIF($C$20:$AA$20,$AH$5)*$AB$20+COUNTIF($C$21:$AA$21,$AH$5)*$AB$21+COUNTIF($C$22:$AA$22,$AH$5)*$AB$22+COUNTIF($C$23:$AA$23,$AH$5)*$AB$23+COUNTIF($C$24:$AA$24,$AH$5)*$AB$24+COUNTIF($C$25:$AA$25,$AH$5)*$AB$25+COUNTIF($C$26:$AA$26,$AH$5)*$AB$26+COUNTIF($C$27:$AA$27,$AH$5)*$AB$27+COUNTIF($C$28:$AA$28,$AH$5)*$AB$28+COUNTIF($C$29:$AA$29,$AH$5)*$AB$29+COUNTIF($C$30:$AA$30,$AH$5)*$AB$30+COUNTIF($C$31:$AA$31,$AH$5)*$AB$31+COUNTIF($C$32:$AA$32,$AH$5)*$AB$32+COUNTIF($C$33:$AA$33,$AH$5)*$AB$33</f>
        <v>53</v>
      </c>
      <c r="AI10" s="295">
        <f>COUNTIF($C$4:$AA$4,$AI$5)*$AB$4+COUNTIF($C$5:$AA$5,$AI$5)*$AB$5+COUNTIF($C$6:$AA$6,$AI$5)*$AB$6+COUNTIF($C$7:$AA$7,$AI$5)*$AB$7+COUNTIF($H$8:$AA$8,$AI$5)*$AB$8+COUNTIF($C$9:$AA$9,$AI$5)*$AB$9+COUNTIF($C$10:$AA$10,$AI$5)*0.5*$AB$10+COUNTIF($C$11:$AA$11,$AI$5)*$AB$11+COUNTIF($C$12:$AA$12,$AI$5)*$AB$12+COUNTIF($D$13:$AA$13,$AI$5)*$AB$13+COUNTIF($C$14:$AA$14,$AI$5)*$AB$14+COUNTIF($C$15:$AA$15,$AI$5)*$AB$15+COUNTIF($C$16:$AA$16,$AI$5)*$AB$16+COUNTIF($D$17:$AA$17,$AI$5)*$AB$17+COUNTIF($D$18:$AA$18,$AI$5)*$AB$18+COUNTIF($C$19:$AA$19,$AI$5)*$AB$19+COUNTIF($C$20:$AA$20,$AI$5)*$AB$20+COUNTIF($C$21:$AA$21,$AI$5)*$AB$21+COUNTIF($C$22:$AA$22,$AI$5)*$AB$22+COUNTIF($C$23:$AA$23,$AI$5)*$AB$23+COUNTIF($C$24:$AA$24,$AI$5)*$AB$24+COUNTIF($C$25:$AA$25,$AI$5)*$AB$25+COUNTIF($C$26:$AA$26,$AI$5)*$AB$26+COUNTIF($C$27:$AA$27,$AI$5)*$AB$27+COUNTIF($C$28:$AA$28,$AI$5)*$AB$28+COUNTIF($C$29:$AA$29,$AI$5)*$AB$29+COUNTIF($C$30:$AA$30,$AI$5)*$AB$30+COUNTIF($C$31:$AA$31,$AI$5)*$AB$31+COUNTIF($C$32:$AA$32,$AI$5)*$AB$32+COUNTIF($C$33:$AA$33,$AI$5)*$AB$33</f>
        <v>44.25</v>
      </c>
      <c r="AJ10" s="295">
        <f>COUNTIF($C$4:$AA$4,$AJ$5)*$AB$4+COUNTIF($C$5:$AA$5,$AJ$5)*$AB$5+COUNTIF($C$6:$AA$6,$AJ$5)*$AB$6+COUNTIF($C$7:$AA$7,$AJ$5)*$AB$7+COUNTIF($H$8:$AA$8,$AJ$5)*$AB$8+COUNTIF($C$9:$AA$9,$AJ$5)*$AB$9+COUNTIF($C$10:$AA$10,$AJ$5)*0.5*$AB$10+COUNTIF($C$11:$AA$11,$AJ$5)*$AB$11+COUNTIF($C$12:$AA$12,$AJ$5)*$AB$12+COUNTIF($D$13:$AA$13,$AJ$5)*$AB$13+COUNTIF($C$14:$AA$14,$AJ$5)*$AB$14+COUNTIF($C$15:$AA$15,$AJ$5)*$AB$15+COUNTIF($C$16:$AA$16,$AJ$5)*$AB$16+COUNTIF($D$17:$AA$17,$AJ$5)*$AB$17+COUNTIF($D$18:$AA$18,$AJ$5)*$AB$18+COUNTIF($C$19:$AA$19,$AJ$5)*$AB$19+COUNTIF($C$20:$AA$20,$AJ$5)*$AB$20+COUNTIF($C$21:$AA$21,$AJ$5)*$AB$21+COUNTIF($C$22:$AA$22,$AJ$5)*$AB$22+COUNTIF($C$23:$AA$23,$AJ$5)*$AB$23+COUNTIF($C$24:$AA$24,$AJ$5)*$AB$24+COUNTIF($C$25:$AA$25,$AJ$5)*$AB$25+COUNTIF($C$26:$AA$26,$AJ$5)*$AB$26+COUNTIF($C$27:$AA$27,$AJ$5)*$AB$27+COUNTIF($C$28:$AA$28,$AJ$5)*$AB$28+COUNTIF($C$29:$AA$29,$AJ$5)*$AB$29+COUNTIF($C$30:$AA$30,$AJ$5)*$AB$30+COUNTIF($C$31:$AA$31,$AJ$5)*$AB$31+COUNTIF($C$32:$AA$32,$AJ$5)*$AB$32+COUNTIF($C$33:$AA$33,$AJ$5)*$AB$33</f>
        <v>4</v>
      </c>
      <c r="AK10" s="295">
        <f>COUNTIF($C$4:$AA$4,$AK$5)*$AB$4+COUNTIF($C$5:$AA$5,$AK$5)*$AB$5+COUNTIF($C$6:$AA$6,$AK$5)*$AB$6+COUNTIF($C$7:$AA$7,$AK$5)*$AB$7+COUNTIF($H$8:$AA$8,$AK$5)*$AB$8+COUNTIF($C$9:$AA$9,$AK$5)*$AB$9+COUNTIF($C$10:$AA$10,$AK$5)*0.5*$AB$10+COUNTIF($C$11:$AA$11,$AK$5)*$AB$11+COUNTIF($C$12:$AA$12,$AK$5)*$AB$12+COUNTIF($C$13:$AA$13,$AK$5)*$AB$13+COUNTIF($C$14:$AA$14,$AK$5)*$AB$14+COUNTIF($C$15:$AA$15,$AK$5)*$AB$15+COUNTIF($C$16:$AA$16,$AK$5)*$AB$16+COUNTIF($C$17:$AA$17,$AK$5)*$AB$17+COUNTIF($C$18:$AA$18,$AK$5)*$AB$18+COUNTIF($C$19:$AA$19,$AK$5)*$AB$19+COUNTIF($C$20:$AA$20,$AK$5)*$AB$20+COUNTIF($C$21:$AA$21,$AK$5)*$AB$21+COUNTIF($C$22:$AA$22,$AK$5)*$AB$22+COUNTIF($C$23:$AA$23,$AK$5)*$AB$23+COUNTIF($C$24:$AA$24,$AK$5)*$AB$24+COUNTIF($C$25:$AA$25,$AK$5)*$AB$25+COUNTIF($C$26:$AA$26,$AK$5)*$AB$26+COUNTIF($C$27:$AA$27,$AK$5)*$AB$27+COUNTIF($C$28:$AA$28,$AK$5)*$AB$28+COUNTIF($C$29:$AA$29,$AK$5)*$AB$29+COUNTIF($C$30:$AA$30,$AK$5)*$AB$30+COUNTIF($C$31:$AA$31,$AK$5)*$AB$31+COUNTIF($C$32:$AA$32,$AK$5)*$AB$32+COUNTIF($C$33:$AA$33,$AK$5)*$AB$33</f>
        <v>11.5</v>
      </c>
      <c r="AL10" s="295">
        <f>COUNTIF($C$4:$AA$4,$AL$5)*$AB$4+COUNTIF($C$5:$AA$5,$AL$5)*$AB$5+COUNTIF($C$6:$AA$6,$AL$5)*$AB$6+COUNTIF($C$7:$AA$7,$AL$5)*$AB$7+COUNTIF($H$8:$AA$8,$AL$5)*$AB$8+COUNTIF($C$9:$AA$9,$AL$5)*$AB$9+COUNTIF($C$10:$AA$10,$AL$5)*$AB$10+COUNTIF($C$11:$AA$11,$AL$5)*$AB$11+COUNTIF($C$12:$AA$12,$AL$5)*$AB$12+COUNTIF($D$13:$AA$13,$AL$5)*$AB$13+COUNTIF($C$14:$AA$14,$AL$5)*$AB$14+COUNTIF($C$15:$AA$15,$AL$5)*$AB$15+COUNTIF($C$16:$AA$16,$AL$5)*$AB$16+COUNTIF($D$17:$AA$17,$AL$5)*$AB$17+COUNTIF($D$18:$AA$18,$AL$5)*$AB$18+COUNTIF($C$19:$AA$19,$AL$5)*$AB$19+COUNTIF($C$20:$AA$20,$AL$5)*$AB$20+COUNTIF($C$21:$AA$21,$AL$5)*$AB$21+COUNTIF($C$22:$AA$22,$AL$5)*$AB$22+COUNTIF($C$23:$AA$23,$AL$5)*$AB$23+COUNTIF($C$24:$AA$24,$AL$5)*$AB$24+COUNTIF($C$25:$AA$25,$AL$5)*$AB$25+COUNTIF($C$26:$AA$26,$AL$5)*$AB$26+COUNTIF($C$27:$AA$27,$AL$5)*$AB$27+COUNTIF($C$28:$AA$28,$AL$5)*$AB$28+COUNTIF($C$29:$AA$29,$AL$5)*$AB$29+COUNTIF($C$30:$AA$30,$AL$5)*$AB$30+COUNTIF($C$31:$AA$31,$AL$5)*$AB$31+COUNTIF($C$32:$AA$32,$AL$5)*$AB$32+COUNTIF($C$33:$AA$33,$AL$5)*$AB$33</f>
        <v>41</v>
      </c>
      <c r="AM10" s="295">
        <f>COUNTIF($C$4:$AA$4,$AM$5)*$AB$4+COUNTIF($C$5:$AA$5,$AM$5)*$AB$5+COUNTIF($C$6:$AA$6,$AM$5)*$AB$6+COUNTIF($C$7:$AA$7,$AM$5)*$AB$7+COUNTIF($H$8:$AA$8,$AM$5)*$AB$8+COUNTIF($C$9:$AA$9,$AM$5)*$AB$9+COUNTIF($C$10:$AA$10,$AM$5)*$AB$10+COUNTIF($C$11:$AA$11,$AM$5)*$AB$11+COUNTIF($C$12:$AA$12,$AM$5)*$AB$12+COUNTIF($D$13:$AA$13,$AM$5)*$AB$13+COUNTIF($C$14:$AA$14,$AM$5)*$AB$14+COUNTIF($C$15:$AA$15,$AM$5)*$AB$15+COUNTIF($C$16:$AA$16,$AM$5)*$AB$16+COUNTIF($D$17:$AA$17,$AM$5)*$AB$17+COUNTIF($D$18:$AA$18,$AM$5)*$AB$18+COUNTIF($C$19:$AA$19,$AM$5)*$AB$19+COUNTIF($C$20:$AA$20,$AM$5)*$AB$20+COUNTIF($C$21:$AA$21,$AM$5)*$AB$21+COUNTIF($C$22:$AA$22,$AM$5)*$AB$22+COUNTIF($C$23:$AA$23,$AM$5)*$AB$23+COUNTIF($C$24:$AA$24,$AM$5)*$AB$24+COUNTIF($C$25:$AA$25,$AM$5)*$AB$25+COUNTIF($C$26:$AA$26,$AM$5)*$AB$26+COUNTIF($C$27:$AA$27,$AM$5)*$AB$27+COUNTIF($C$28:$AA$28,$AM$5)*$AB$28+COUNTIF($C$29:$AA$29,$AM$5)*$AB$29+COUNTIF($C$30:$AA$30,$AM$5)*$AB$30+COUNTIF($C$31:$AA$31,$AM$5)*$AB$31+COUNTIF($C$32:$AA$32,$AM$5)*$AB$32+COUNTIF($C$33:$AA$33,$AM$5)*$AB$33</f>
        <v>4.25</v>
      </c>
      <c r="AN10" s="295">
        <f>COUNTIF($C$4:$AA$4,$AN$5)*$AB$4+COUNTIF($C$5:$AA$5,$AN$5)*$AB$5+COUNTIF($C$6:$AA$6,$AN$5)*$AB$6+COUNTIF($C$7:$AA$7,$AN$5)*$AB$7+COUNTIF($H$8:$AA$8,$AN$5)*$AB$8+COUNTIF($C$9:$AA$9,$AN$5)*$AB$9+COUNTIF($C$10:$AA$10,$AN$5)*$AB$10+COUNTIF($C$11:$AA$11,$AN$5)*$AB$11+COUNTIF($C$12:$AA$12,$AN$5)*$AB$12+COUNTIF($D$13:$AA$13,$AN$5)*$AB$13+COUNTIF($C$14:$AA$14,$AN$5)*$AB$14+COUNTIF($C$15:$AA$15,$AN$5)*$AB$15+COUNTIF($C$16:$AA$16,$AN$5)*$AB$16+COUNTIF($D$17:$AA$17,$AN$5)*$AB$17+COUNTIF($D$18:$AA$18,$AN$5)*$AB$18+COUNTIF($C$19:$AA$19,$AN$5)*$AB$19+COUNTIF($C$20:$AA$20,$AN$5)*$AB$20+COUNTIF($C$21:$AA$21,$AN$5)*$AB$21+COUNTIF($C$22:$AA$22,$AN$5)*$AB$22+COUNTIF($C$23:$AA$23,$AN$5)*$AB$23+COUNTIF($C$24:$AA$24,$AN$5)*$AB$24+COUNTIF($C$25:$AA$25,$AN$5)*$AB$25+COUNTIF($C$26:$AA$26,$AN$5)*$AB$26+COUNTIF($C$27:$AA$27,$AN$5)*$AB$27+COUNTIF($C$28:$AA$28,$AN$5)*$AB$28+COUNTIF($C$29:$AA$29,$AN$5)*$AB$29+COUNTIF($C$30:$AA$30,$AN$5)*$AB$30+COUNTIF($C$31:$AA$31,$AN$5)*$AB$31+COUNTIF($C$32:$AA$32,$AN$5)*$AB$32+COUNTIF($C$33:$AA$33,$AN$5)*$AB$33</f>
        <v>22</v>
      </c>
      <c r="AO10" s="295">
        <f>COUNTIF($C$4:$AA$4,$AO$5)*$AB$4+COUNTIF($C$5:$AA$5,$AO$5)*$AB$5+COUNTIF($C$6:$AA$6,$AO$5)*$AB$6+COUNTIF($C$7:$AA$7,$AO$5)*$AB$7+COUNTIF($H$8:$AA$8,$AO$5)*$AB$8+COUNTIF($C$9:$AA$9,$AO$5)*$AB$9+COUNTIF($C$10:$AA$10,$AO$5)*0.5*$AB$10+COUNTIF($C$11:$AA$11,$AO$5)*$AB$11+COUNTIF($C$12:$AA$12,$AO$5)*$AB$12+COUNTIF($D$13:$AA$13,$AO$5)*$AB$13+COUNTIF($C$14:$AA$14,$AO$5)*$AB$14+COUNTIF($C$15:$AA$15,$AO$5)*$AB$15+COUNTIF($C$16:$AA$16,$AO$5)*$AB$16+COUNTIF($D$17:$AA$17,$AO$5)*$AB$17+COUNTIF($D$18:$AA$18,$AO$5)*$AB$18+COUNTIF($C$19:$AA$19,$AO$5)*$AB$19+COUNTIF($C$20:$AA$20,$AO$5)*$AB$20+COUNTIF($C$21:$AA$21,$AO$5)*$AB$21+COUNTIF($C$22:$AA$22,$AO$5)*$AB$22+COUNTIF($C$23:$AA$23,$AO$5)*$AB$23+COUNTIF($C$24:$AA$24,$AO$5)*$AB$24+COUNTIF($C$25:$AA$25,$AO$5)*$AB$25+COUNTIF($C$26:$AA$26,$AO$5)*$AB$26+COUNTIF($C$27:$AA$27,$AO$5)*$AB$27+COUNTIF($C$28:$AA$28,$AO$5)*$AB$28+COUNTIF($C$29:$AA$29,$AO$5)*$AB$29+COUNTIF($C$30:$AA$30,$AO$5)*$AB$30+COUNTIF($C$31:$AA$31,$AO$5)*$AB$31+COUNTIF($C$32:$AA$32,$AO$5)*$AB$32+COUNTIF($C$33:$AA$33,$AO$5)*$AB$33</f>
        <v>2</v>
      </c>
      <c r="AP10" s="295">
        <f>COUNTIF($C$4:$AA$4,$AP$5)*$AB$4+COUNTIF($C$5:$AA$5,$AP$5)*$AB$5+COUNTIF($C$6:$AA$6,$AP$5)*$AB$6+COUNTIF($C$7:$AA$7,$AP$5)*$AB$7+COUNTIF($H$8:$AA$8,$AP$5)*$AB$8+COUNTIF($C$9:$AA$9,$AP$5)*$AB$9+COUNTIF($C$10:$AA$10,$AP$5)*$AB$10+COUNTIF($C$11:$AA$11,$AP$5)*$AB$11+COUNTIF($C$12:$AA$12,$AP$5)*$AB$12+COUNTIF($D$13:$AA$13,$AP$5)*$AB$13+COUNTIF($C$14:$AA$14,$AP$5)*$AB$14+COUNTIF($C$15:$AA$15,$AP$5)*$AB$15+COUNTIF($C$16:$AA$16,$AP$5)*$AB$16+COUNTIF($D$17:$AA$17,$AP$5)*$AB$17+COUNTIF($D$18:$AA$18,$AP$5)*$AB$18+COUNTIF($C$19:$AA$19,$AP$5)*$AB$19+COUNTIF($C$20:$AA$20,$AP$5)*$AB$20+COUNTIF($C$21:$AA$21,$AP$5)*$AB$21+COUNTIF($C$22:$AA$22,$AP$5)*$AB$22+COUNTIF($C$23:$AA$23,$AP$5)*$AB$23+COUNTIF($C$24:$AA$24,$AP$5)*$AB$24+COUNTIF($C$25:$AA$25,$AP$5)*$AB$25+COUNTIF($C$26:$AA$26,$AP$5)*$AB$26+COUNTIF($C$27:$AA$27,$AP$5)*$AB$27+COUNTIF($C$28:$AA$28,$AP$5)*$AB$28+COUNTIF($C$29:$AA$29,$AP$5)*$AB$29+COUNTIF($C$30:$AA$30,$AP$5)*$AB$30+COUNTIF($C$31:$AA$31,$AP$5)*$AB$31+COUNTIF($C$32:$AA$32,$AP$5)*$AB$32+COUNTIF($C$33:$AA$33,$AP$5)*$AB$33</f>
        <v>26.75</v>
      </c>
      <c r="AQ10" s="295">
        <f>COUNTIF($C$4:$AA$4,$AQ$5)*$AB$4+COUNTIF($C$5:$AA$5,$AQ$5)*$AB$5+COUNTIF($C$6:$AA$6,$AQ$5)*$AB$6+COUNTIF($C$7:$AA$7,$AQ$5)*$AB$7+COUNTIF($H$8:$AA$8,$AQ$5)*$AB$8+COUNTIF($C$9:$AA$9,$AQ$5)*$AB$9+COUNTIF($C$10:$AA$10,$AQ$5)*$AB$10+COUNTIF($C$11:$AA$11,$AQ$5)*$AB$11+COUNTIF($C$12:$AA$12,$AQ$5)*$AB$12+COUNTIF($D$13:$AA$13,$AQ$5)*$AB$13+COUNTIF($C$14:$AA$14,$AQ$5)*$AB$14+COUNTIF($C$15:$AA$15,$AQ$5)*$AB$15+COUNTIF($C$16:$AA$16,$AQ$5)*$AB$16+COUNTIF($D$17:$AA$17,$AQ$5)*$AB$17+COUNTIF($D$18:$AA$18,$AQ$5)*$AB$18+COUNTIF($C$19:$AA$19,$AQ$5)*$AB$19+COUNTIF($C$20:$AA$20,$AQ$5)*$AB$20+COUNTIF($C$21:$AA$21,$AQ$5)*$AB$21+COUNTIF($C$22:$AA$22,$AQ$5)*$AB$22+COUNTIF($C$23:$AA$23,$AQ$5)*$AB$23+COUNTIF($C$24:$AA$24,$AQ$5)*$AB$24+COUNTIF($C$25:$AA$25,$AQ$5)*$AB$25+COUNTIF($C$26:$AA$26,$AQ$5)*$AB$26+COUNTIF($C$27:$AA$27,$AQ$5)*$AB$27+COUNTIF($C$28:$AA$28,$AQ$5)*$AB$28+COUNTIF($C$29:$AA$29,$AQ$5)*$AB$29+COUNTIF($C$30:$AA$30,$AQ$5)*$AB$30+COUNTIF($C$31:$AA$31,$AQ$5)*$AB$31+COUNTIF($C$32:$AA$32,$AQ$5)*$AB$32+COUNTIF($C$33:$AA$33,$AQ$5)*$AB$33</f>
        <v>6</v>
      </c>
      <c r="AR10" s="295">
        <f>COUNTIF($C$4:$AA$4,$AR$5)*$AB$4+COUNTIF($C$5:$AA$5,$AR$5)*$AB$5+COUNTIF($C$6:$AA$6,$AR$5)*$AB$6+COUNTIF($C$7:$AA$7,$AR$5)*$AB$7+COUNTIF($H$8:$AA$8,$AR$5)*$AB$8+COUNTIF($C$9:$AA$9,$AR$5)*$AB$9+COUNTIF($C$10:$AA$10,$AR$5)*$AB$10+COUNTIF($C$11:$AA$11,$AR$5)*$AB$11+COUNTIF($C$12:$AA$12,$AR$5)*$AB$12+COUNTIF($D$13:$AA$13,$AR$5)*$AB$13+COUNTIF($C$14:$AA$14,$AR$5)*$AB$14+COUNTIF($C$15:$AA$15,$AR$5)*$AB$15+COUNTIF($C$16:$AA$16,$AR$5)*$AB$16+COUNTIF($D$17:$AA$17,$AR$5)*$AB$17+COUNTIF($D$18:$AA$18,$AR$5)*$AB$18+COUNTIF($C$19:$AA$19,$AR$5)*$AB$19+COUNTIF($C$20:$AA$20,$AR$5)*$AB$20+COUNTIF($C$21:$AA$21,$AR$5)*$AB$21+COUNTIF($C$22:$AA$22,$AR$5)*$AB$22+COUNTIF($C$23:$AA$23,$AR$5)*$AB$23+COUNTIF($C$24:$AA$24,$AR$5)*$AB$24+COUNTIF($C$25:$AA$25,$AR$5)*$AB$25+COUNTIF($C$26:$AA$26,$AR$5)*$AB$26+COUNTIF($C$27:$AA$27,$AR$5)*$AB$27+COUNTIF($C$28:$AA$28,$AR$5)*$AB$28+COUNTIF($C$29:$AA$29,$AR$5)*$AB$29+COUNTIF($C$30:$AA$30,$AR$5)*$AB$30+COUNTIF($C$31:$AA$31,$AR$5)*$AB$31+COUNTIF($C$32:$AA$32,$AR$5)*$AB$32+COUNTIF($C$33:$AA$33,$AR$5)*$AB$33</f>
        <v>10</v>
      </c>
      <c r="AS10" s="466">
        <f>AS7*1.25</f>
        <v>1.25</v>
      </c>
    </row>
    <row r="11" spans="1:45" ht="18.75" customHeight="1" thickBot="1" x14ac:dyDescent="0.4">
      <c r="A11" s="92" t="s">
        <v>11</v>
      </c>
      <c r="B11" s="369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348"/>
      <c r="X11" s="11"/>
      <c r="Y11" s="11"/>
      <c r="Z11" s="11"/>
      <c r="AA11" s="12"/>
      <c r="AB11" s="287">
        <v>1</v>
      </c>
      <c r="AD11" s="441" t="s">
        <v>240</v>
      </c>
      <c r="AE11" s="487"/>
      <c r="AF11" s="467"/>
      <c r="AG11" s="294"/>
      <c r="AH11" s="306">
        <f t="shared" ref="AH11:AS11" si="6">AH7/AH6</f>
        <v>5.875</v>
      </c>
      <c r="AI11" s="306">
        <f t="shared" si="6"/>
        <v>6.3571428571428568</v>
      </c>
      <c r="AJ11" s="306">
        <f t="shared" si="6"/>
        <v>3</v>
      </c>
      <c r="AK11" s="306">
        <f t="shared" ref="AK11" si="7">AK7/AK6</f>
        <v>9</v>
      </c>
      <c r="AL11" s="306">
        <f t="shared" si="6"/>
        <v>6</v>
      </c>
      <c r="AM11" s="306">
        <f t="shared" ref="AM11" si="8">AM7/AM6</f>
        <v>6</v>
      </c>
      <c r="AN11" s="306">
        <f t="shared" si="6"/>
        <v>3.875</v>
      </c>
      <c r="AO11" s="306">
        <f t="shared" si="6"/>
        <v>2</v>
      </c>
      <c r="AP11" s="306">
        <f t="shared" si="6"/>
        <v>7</v>
      </c>
      <c r="AQ11" s="306">
        <f t="shared" si="6"/>
        <v>2</v>
      </c>
      <c r="AR11" s="306">
        <f t="shared" si="6"/>
        <v>6.5</v>
      </c>
      <c r="AS11" s="468">
        <f t="shared" si="6"/>
        <v>1</v>
      </c>
    </row>
    <row r="12" spans="1:45" ht="18.75" customHeight="1" x14ac:dyDescent="0.35">
      <c r="A12" s="203" t="s">
        <v>12</v>
      </c>
      <c r="B12" s="373" t="s">
        <v>225</v>
      </c>
      <c r="C12" s="59"/>
      <c r="D12" s="58"/>
      <c r="E12" s="58"/>
      <c r="F12" s="58"/>
      <c r="G12" s="61"/>
      <c r="H12" s="59"/>
      <c r="I12" s="58"/>
      <c r="J12" s="58"/>
      <c r="K12" s="58"/>
      <c r="L12" s="61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441" t="s">
        <v>250</v>
      </c>
      <c r="AE12" s="488">
        <f>(AE10-AG10)/AE13</f>
        <v>6.8484848484848486</v>
      </c>
      <c r="AF12" s="465">
        <f>AF10/AF13</f>
        <v>0</v>
      </c>
      <c r="AG12" s="295"/>
      <c r="AH12" s="295">
        <f>(AH10-4)/AH6</f>
        <v>6.125</v>
      </c>
      <c r="AI12" s="295">
        <f>(AI10)/AI6</f>
        <v>6.3214285714285712</v>
      </c>
      <c r="AJ12" s="295">
        <f>(AJ10)/AJ6</f>
        <v>4</v>
      </c>
      <c r="AK12" s="295">
        <f>(AK10)/AK6</f>
        <v>11.5</v>
      </c>
      <c r="AL12" s="295">
        <f>(AL10-4)/AL6</f>
        <v>6.166666666666667</v>
      </c>
      <c r="AM12" s="295">
        <f>(AM10)/AM6</f>
        <v>4.25</v>
      </c>
      <c r="AN12" s="295">
        <f>(AN10-3)/AN6</f>
        <v>4.75</v>
      </c>
      <c r="AO12" s="295">
        <f>(AO10)/AO6</f>
        <v>2</v>
      </c>
      <c r="AP12" s="295">
        <f>(AP10-3.25)/AP6</f>
        <v>5.875</v>
      </c>
      <c r="AQ12" s="295">
        <f>AQ10/AQ6</f>
        <v>3</v>
      </c>
      <c r="AR12" s="295">
        <f>(AR10)/AR6</f>
        <v>5</v>
      </c>
      <c r="AS12" s="466">
        <f>AS10/AS6</f>
        <v>1.25</v>
      </c>
    </row>
    <row r="13" spans="1:45" ht="18.75" customHeight="1" x14ac:dyDescent="0.35">
      <c r="A13" s="280" t="s">
        <v>12</v>
      </c>
      <c r="B13" s="374" t="s">
        <v>238</v>
      </c>
      <c r="C13" s="251"/>
      <c r="D13" s="58"/>
      <c r="E13" s="58"/>
      <c r="F13" s="58"/>
      <c r="G13" s="61"/>
      <c r="H13" s="283"/>
      <c r="I13" s="58"/>
      <c r="J13" s="282"/>
      <c r="K13" s="282"/>
      <c r="L13" s="61"/>
      <c r="M13" s="59"/>
      <c r="N13" s="276"/>
      <c r="O13" s="15" t="s">
        <v>49</v>
      </c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450" t="s">
        <v>101</v>
      </c>
      <c r="AE13" s="489">
        <v>33</v>
      </c>
      <c r="AF13" s="469">
        <v>1</v>
      </c>
      <c r="AG13" s="452"/>
      <c r="AH13" s="453">
        <v>8</v>
      </c>
      <c r="AI13" s="453">
        <v>7</v>
      </c>
      <c r="AJ13" s="453">
        <v>1</v>
      </c>
      <c r="AK13" s="453">
        <v>2</v>
      </c>
      <c r="AL13" s="453">
        <v>6</v>
      </c>
      <c r="AM13" s="453">
        <v>7</v>
      </c>
      <c r="AN13" s="453">
        <v>4</v>
      </c>
      <c r="AO13" s="453">
        <v>1</v>
      </c>
      <c r="AP13" s="453">
        <v>4</v>
      </c>
      <c r="AQ13" s="454">
        <v>2</v>
      </c>
      <c r="AR13" s="454">
        <v>2</v>
      </c>
      <c r="AS13" s="470">
        <v>1</v>
      </c>
    </row>
    <row r="14" spans="1:45" ht="18.75" customHeight="1" x14ac:dyDescent="0.35">
      <c r="A14" s="205" t="s">
        <v>12</v>
      </c>
      <c r="B14" s="375" t="s">
        <v>226</v>
      </c>
      <c r="C14" s="6"/>
      <c r="D14" s="31"/>
      <c r="E14" s="31"/>
      <c r="F14" s="31"/>
      <c r="G14" s="250"/>
      <c r="H14" s="14" t="s">
        <v>49</v>
      </c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282"/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97"/>
      <c r="Z14" s="2"/>
      <c r="AA14" s="7"/>
      <c r="AB14" s="287">
        <v>1.5</v>
      </c>
      <c r="AD14" s="450" t="s">
        <v>254</v>
      </c>
      <c r="AE14" s="489">
        <f>(AE6-7)*25</f>
        <v>825</v>
      </c>
      <c r="AF14" s="471">
        <f t="shared" ref="AF14:AS14" si="9">AF6*25</f>
        <v>25</v>
      </c>
      <c r="AG14" s="455">
        <f t="shared" si="9"/>
        <v>75</v>
      </c>
      <c r="AH14" s="455">
        <f t="shared" si="9"/>
        <v>200</v>
      </c>
      <c r="AI14" s="455">
        <f t="shared" si="9"/>
        <v>175</v>
      </c>
      <c r="AJ14" s="455">
        <f t="shared" si="9"/>
        <v>25</v>
      </c>
      <c r="AK14" s="455">
        <f t="shared" ref="AK14" si="10">AK6*25</f>
        <v>25</v>
      </c>
      <c r="AL14" s="455">
        <f t="shared" si="9"/>
        <v>150</v>
      </c>
      <c r="AM14" s="455">
        <f t="shared" ref="AM14" si="11">AM6*25</f>
        <v>25</v>
      </c>
      <c r="AN14" s="455">
        <f t="shared" si="9"/>
        <v>100</v>
      </c>
      <c r="AO14" s="455">
        <f t="shared" si="9"/>
        <v>25</v>
      </c>
      <c r="AP14" s="455">
        <f t="shared" si="9"/>
        <v>100</v>
      </c>
      <c r="AQ14" s="455">
        <f t="shared" si="9"/>
        <v>50</v>
      </c>
      <c r="AR14" s="455">
        <f t="shared" si="9"/>
        <v>50</v>
      </c>
      <c r="AS14" s="456">
        <f t="shared" si="9"/>
        <v>25</v>
      </c>
    </row>
    <row r="15" spans="1:45" ht="18.75" hidden="1" customHeight="1" x14ac:dyDescent="0.35">
      <c r="A15" s="367"/>
      <c r="B15" s="368"/>
      <c r="C15" s="367"/>
      <c r="D15" s="363"/>
      <c r="E15" s="363"/>
      <c r="F15" s="363"/>
      <c r="G15" s="364"/>
      <c r="H15" s="367"/>
      <c r="I15" s="363"/>
      <c r="J15" s="363"/>
      <c r="K15" s="363"/>
      <c r="L15" s="364"/>
      <c r="M15" s="367"/>
      <c r="N15" s="363"/>
      <c r="O15" s="363"/>
      <c r="P15" s="363"/>
      <c r="Q15" s="364"/>
      <c r="R15" s="367"/>
      <c r="S15" s="363"/>
      <c r="T15" s="363"/>
      <c r="U15" s="363"/>
      <c r="V15" s="364"/>
      <c r="W15" s="367"/>
      <c r="X15" s="410"/>
      <c r="Y15" s="363"/>
      <c r="Z15" s="363"/>
      <c r="AA15" s="364"/>
      <c r="AB15" s="287">
        <v>1</v>
      </c>
      <c r="AD15" s="442" t="s">
        <v>292</v>
      </c>
      <c r="AE15" s="490">
        <f>AH15+AI15+AL15+AN15+AP15+AR15</f>
        <v>400</v>
      </c>
      <c r="AF15" s="472"/>
      <c r="AG15" s="298"/>
      <c r="AH15" s="299">
        <f>25*2*2</f>
        <v>100</v>
      </c>
      <c r="AI15" s="299">
        <f>25*2*2</f>
        <v>100</v>
      </c>
      <c r="AJ15" s="299"/>
      <c r="AK15" s="299"/>
      <c r="AL15" s="300">
        <f>25*2</f>
        <v>50</v>
      </c>
      <c r="AM15" s="300">
        <f>25*2</f>
        <v>50</v>
      </c>
      <c r="AN15" s="300">
        <f t="shared" ref="AN15:AR15" si="12">25*2</f>
        <v>50</v>
      </c>
      <c r="AO15" s="300"/>
      <c r="AP15" s="300">
        <f t="shared" si="12"/>
        <v>50</v>
      </c>
      <c r="AQ15" s="300"/>
      <c r="AR15" s="300">
        <f t="shared" si="12"/>
        <v>50</v>
      </c>
      <c r="AS15" s="473"/>
    </row>
    <row r="16" spans="1:45" ht="15.5" x14ac:dyDescent="0.35">
      <c r="A16" s="205" t="s">
        <v>12</v>
      </c>
      <c r="B16" s="375" t="s">
        <v>227</v>
      </c>
      <c r="C16" s="97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R16" s="14" t="s">
        <v>49</v>
      </c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443" t="s">
        <v>90</v>
      </c>
      <c r="AE16" s="491">
        <f>(AE15-9)/AE6</f>
        <v>9.7750000000000004</v>
      </c>
      <c r="AF16" s="474"/>
      <c r="AG16" s="307"/>
      <c r="AH16" s="307">
        <f>AH15/AH6</f>
        <v>12.5</v>
      </c>
      <c r="AI16" s="307">
        <f>AI15/AI6</f>
        <v>14.285714285714286</v>
      </c>
      <c r="AJ16" s="307"/>
      <c r="AK16" s="307"/>
      <c r="AL16" s="307">
        <f>AL15/AL6</f>
        <v>8.3333333333333339</v>
      </c>
      <c r="AM16" s="307">
        <f>AM15/AM6</f>
        <v>50</v>
      </c>
      <c r="AN16" s="307">
        <f>AN15/AN6</f>
        <v>12.5</v>
      </c>
      <c r="AO16" s="307"/>
      <c r="AP16" s="307">
        <f>AP15/AP6</f>
        <v>12.5</v>
      </c>
      <c r="AQ16" s="307">
        <f>AQ15/AQ6</f>
        <v>0</v>
      </c>
      <c r="AR16" s="307">
        <f>AR15/AR6</f>
        <v>25</v>
      </c>
      <c r="AS16" s="475">
        <f>AS15/AS6</f>
        <v>0</v>
      </c>
    </row>
    <row r="17" spans="1:45" ht="17.25" customHeight="1" x14ac:dyDescent="0.35">
      <c r="A17" s="205" t="s">
        <v>12</v>
      </c>
      <c r="B17" s="206" t="s">
        <v>228</v>
      </c>
      <c r="C17" s="537" t="s">
        <v>311</v>
      </c>
      <c r="D17" s="4" t="s">
        <v>48</v>
      </c>
      <c r="E17" s="409" t="s">
        <v>33</v>
      </c>
      <c r="F17" s="4" t="s">
        <v>48</v>
      </c>
      <c r="G17" s="9" t="s">
        <v>48</v>
      </c>
      <c r="H17" s="14" t="s">
        <v>49</v>
      </c>
      <c r="I17" s="534" t="s">
        <v>311</v>
      </c>
      <c r="J17" s="68" t="s">
        <v>53</v>
      </c>
      <c r="K17" s="68" t="s">
        <v>53</v>
      </c>
      <c r="L17" s="69" t="s">
        <v>53</v>
      </c>
      <c r="M17" s="199" t="s">
        <v>216</v>
      </c>
      <c r="N17" s="4" t="s">
        <v>48</v>
      </c>
      <c r="O17" s="398" t="s">
        <v>51</v>
      </c>
      <c r="P17" s="4" t="s">
        <v>48</v>
      </c>
      <c r="Q17" s="9" t="s">
        <v>48</v>
      </c>
      <c r="R17" s="193" t="s">
        <v>48</v>
      </c>
      <c r="S17" s="4" t="s">
        <v>48</v>
      </c>
      <c r="T17" s="199" t="s">
        <v>216</v>
      </c>
      <c r="U17" s="199" t="s">
        <v>216</v>
      </c>
      <c r="V17" s="351" t="s">
        <v>50</v>
      </c>
      <c r="W17" s="195" t="s">
        <v>31</v>
      </c>
      <c r="X17" s="199" t="s">
        <v>216</v>
      </c>
      <c r="Y17" s="26" t="s">
        <v>50</v>
      </c>
      <c r="Z17" s="534" t="s">
        <v>311</v>
      </c>
      <c r="AA17" s="387" t="s">
        <v>48</v>
      </c>
      <c r="AB17" s="287">
        <v>1.5</v>
      </c>
      <c r="AD17" s="444" t="s">
        <v>43</v>
      </c>
      <c r="AE17" s="492">
        <f>AE14-AE10-AE15</f>
        <v>176.375</v>
      </c>
      <c r="AF17" s="476"/>
      <c r="AG17" s="305"/>
      <c r="AH17" s="305">
        <f>AH14-AH10-AH15</f>
        <v>47</v>
      </c>
      <c r="AI17" s="305">
        <f>AI14-AI10-AI15</f>
        <v>30.75</v>
      </c>
      <c r="AJ17" s="305"/>
      <c r="AK17" s="305"/>
      <c r="AL17" s="305">
        <f>AL14-AL10-AL15</f>
        <v>59</v>
      </c>
      <c r="AM17" s="305">
        <f>AM14-AM10-AM15</f>
        <v>-29.25</v>
      </c>
      <c r="AN17" s="305">
        <f>AN14-AN10-AN15</f>
        <v>28</v>
      </c>
      <c r="AO17" s="305"/>
      <c r="AP17" s="305">
        <f>AP14-AP10-AP15</f>
        <v>23.25</v>
      </c>
      <c r="AQ17" s="305">
        <f>AQ14-AQ10-AQ15</f>
        <v>44</v>
      </c>
      <c r="AR17" s="305">
        <f>AR14-AR10-AR15</f>
        <v>-10</v>
      </c>
      <c r="AS17" s="477">
        <f>AS14-AS10-AS15</f>
        <v>23.75</v>
      </c>
    </row>
    <row r="18" spans="1:45" ht="15.5" x14ac:dyDescent="0.35">
      <c r="A18" s="205" t="s">
        <v>12</v>
      </c>
      <c r="B18" s="372" t="s">
        <v>229</v>
      </c>
      <c r="C18" s="97"/>
      <c r="D18" s="282"/>
      <c r="E18" s="282"/>
      <c r="F18" s="282"/>
      <c r="G18" s="284"/>
      <c r="H18" s="538" t="s">
        <v>274</v>
      </c>
      <c r="I18" s="2"/>
      <c r="J18" s="539" t="s">
        <v>274</v>
      </c>
      <c r="K18" s="2"/>
      <c r="L18" s="7"/>
      <c r="M18" s="6"/>
      <c r="N18" s="2"/>
      <c r="O18" s="2"/>
      <c r="P18" s="2"/>
      <c r="Q18" s="7"/>
      <c r="R18" s="6"/>
      <c r="S18" s="2"/>
      <c r="T18" s="2"/>
      <c r="U18" s="2"/>
      <c r="V18" s="7"/>
      <c r="W18" s="6"/>
      <c r="X18" s="58"/>
      <c r="Z18" s="2"/>
      <c r="AA18" s="7"/>
      <c r="AB18" s="287">
        <v>1</v>
      </c>
      <c r="AD18" s="444" t="s">
        <v>293</v>
      </c>
      <c r="AE18" s="493">
        <f>AE17/33</f>
        <v>5.3446969696969697</v>
      </c>
      <c r="AF18" s="478"/>
      <c r="AG18" s="301"/>
      <c r="AH18" s="329">
        <f>AH17/AH6</f>
        <v>5.875</v>
      </c>
      <c r="AI18" s="329">
        <f>AI17/AI6</f>
        <v>4.3928571428571432</v>
      </c>
      <c r="AJ18" s="329"/>
      <c r="AK18" s="329"/>
      <c r="AL18" s="329">
        <f>AL17/AL6</f>
        <v>9.8333333333333339</v>
      </c>
      <c r="AM18" s="329">
        <f>AM17/AM6</f>
        <v>-29.25</v>
      </c>
      <c r="AN18" s="329">
        <f>AN17/AN6</f>
        <v>7</v>
      </c>
      <c r="AO18" s="329"/>
      <c r="AP18" s="329">
        <f>AP17/AP6</f>
        <v>5.8125</v>
      </c>
      <c r="AQ18" s="329">
        <f>AQ17/AQ6</f>
        <v>22</v>
      </c>
      <c r="AR18" s="329">
        <f>AR17/AR6</f>
        <v>-5</v>
      </c>
      <c r="AS18" s="479">
        <f>AS17/AS6</f>
        <v>23.75</v>
      </c>
    </row>
    <row r="19" spans="1:45" ht="16" thickBot="1" x14ac:dyDescent="0.4">
      <c r="A19" s="205" t="s">
        <v>12</v>
      </c>
      <c r="B19" s="371" t="s">
        <v>230</v>
      </c>
      <c r="C19" s="8" t="s">
        <v>48</v>
      </c>
      <c r="D19" s="282"/>
      <c r="E19" s="4" t="s">
        <v>48</v>
      </c>
      <c r="F19" s="282"/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264" t="s">
        <v>269</v>
      </c>
      <c r="M19" s="6"/>
      <c r="N19" s="2"/>
      <c r="O19" s="2"/>
      <c r="P19" s="97"/>
      <c r="Q19" s="7"/>
      <c r="R19" s="8" t="s">
        <v>48</v>
      </c>
      <c r="S19" s="4" t="s">
        <v>48</v>
      </c>
      <c r="T19" s="4" t="s">
        <v>48</v>
      </c>
      <c r="U19" s="27" t="s">
        <v>33</v>
      </c>
      <c r="V19" s="350" t="s">
        <v>269</v>
      </c>
      <c r="W19" s="6"/>
      <c r="X19" s="2"/>
      <c r="Y19" s="2"/>
      <c r="Z19" s="2"/>
      <c r="AA19" s="7"/>
      <c r="AB19" s="287">
        <v>1.5</v>
      </c>
      <c r="AD19" s="445" t="s">
        <v>252</v>
      </c>
      <c r="AE19" s="494">
        <f>AE18/2</f>
        <v>2.6723484848484849</v>
      </c>
      <c r="AF19" s="480"/>
      <c r="AG19" s="481"/>
      <c r="AH19" s="482">
        <f>AH18/2</f>
        <v>2.9375</v>
      </c>
      <c r="AI19" s="482">
        <f>AI18/2</f>
        <v>2.1964285714285716</v>
      </c>
      <c r="AJ19" s="482"/>
      <c r="AK19" s="482"/>
      <c r="AL19" s="482">
        <f>AL18/2</f>
        <v>4.916666666666667</v>
      </c>
      <c r="AM19" s="482">
        <f>AM18/2</f>
        <v>-14.625</v>
      </c>
      <c r="AN19" s="482">
        <f>AN18/2</f>
        <v>3.5</v>
      </c>
      <c r="AO19" s="482"/>
      <c r="AP19" s="482">
        <f>AP18/2</f>
        <v>2.90625</v>
      </c>
      <c r="AQ19" s="483"/>
      <c r="AR19" s="483">
        <f>AR18/2</f>
        <v>-2.5</v>
      </c>
      <c r="AS19" s="484"/>
    </row>
    <row r="20" spans="1:45" x14ac:dyDescent="0.35">
      <c r="A20" s="205" t="s">
        <v>12</v>
      </c>
      <c r="B20" s="370" t="s">
        <v>223</v>
      </c>
      <c r="C20" s="22" t="s">
        <v>50</v>
      </c>
      <c r="D20" s="23" t="s">
        <v>50</v>
      </c>
      <c r="E20" s="23" t="s">
        <v>50</v>
      </c>
      <c r="F20" s="23" t="s">
        <v>50</v>
      </c>
      <c r="G20" s="535" t="s">
        <v>311</v>
      </c>
      <c r="H20" s="6"/>
      <c r="I20" s="2"/>
      <c r="J20" s="2"/>
      <c r="K20" s="2"/>
      <c r="L20" s="7"/>
      <c r="M20" s="537" t="s">
        <v>311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2"/>
      <c r="AA20" s="253"/>
      <c r="AB20" s="287">
        <v>1.5</v>
      </c>
    </row>
    <row r="21" spans="1:45" hidden="1" x14ac:dyDescent="0.35">
      <c r="A21" s="205"/>
      <c r="B21" s="368"/>
      <c r="C21" s="367"/>
      <c r="D21" s="363"/>
      <c r="E21" s="363"/>
      <c r="F21" s="363"/>
      <c r="G21" s="364"/>
      <c r="H21" s="367"/>
      <c r="I21" s="363"/>
      <c r="J21" s="363"/>
      <c r="K21" s="363"/>
      <c r="L21" s="364"/>
      <c r="M21" s="365"/>
      <c r="N21" s="363"/>
      <c r="O21" s="363"/>
      <c r="P21" s="363"/>
      <c r="Q21" s="366"/>
      <c r="R21" s="367"/>
      <c r="S21" s="363"/>
      <c r="T21" s="363"/>
      <c r="U21" s="363"/>
      <c r="V21" s="364"/>
      <c r="W21" s="365"/>
      <c r="X21" s="363"/>
      <c r="Y21" s="363"/>
      <c r="Z21" s="363"/>
      <c r="AA21" s="364"/>
      <c r="AB21" s="287"/>
    </row>
    <row r="22" spans="1:45" x14ac:dyDescent="0.35">
      <c r="A22" s="205" t="s">
        <v>12</v>
      </c>
      <c r="B22" s="371" t="s">
        <v>37</v>
      </c>
      <c r="C22" s="6"/>
      <c r="D22" s="2"/>
      <c r="E22" s="545" t="s">
        <v>321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</row>
    <row r="23" spans="1:45" x14ac:dyDescent="0.35">
      <c r="A23" s="205" t="s">
        <v>12</v>
      </c>
      <c r="B23" s="370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 t="s">
        <v>314</v>
      </c>
      <c r="Y23" s="2"/>
      <c r="Z23" s="2"/>
      <c r="AA23" s="7"/>
      <c r="AB23" s="287">
        <v>0.75</v>
      </c>
    </row>
    <row r="24" spans="1:45" x14ac:dyDescent="0.35">
      <c r="A24" s="19" t="s">
        <v>27</v>
      </c>
      <c r="B24" s="37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</row>
    <row r="25" spans="1:45" x14ac:dyDescent="0.35">
      <c r="A25" s="19" t="s">
        <v>12</v>
      </c>
      <c r="B25" s="376" t="s">
        <v>231</v>
      </c>
      <c r="C25" s="19" t="s">
        <v>51</v>
      </c>
      <c r="D25" s="2"/>
      <c r="E25" s="2"/>
      <c r="F25" s="2"/>
      <c r="G25" s="7"/>
      <c r="H25" s="37"/>
      <c r="I25" s="42" t="s">
        <v>51</v>
      </c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s="2"/>
      <c r="AE25" s="500" t="s">
        <v>295</v>
      </c>
      <c r="AF25" s="504"/>
      <c r="AG25" s="505"/>
      <c r="AH25" s="505"/>
      <c r="AI25" s="505"/>
      <c r="AJ25" s="505"/>
      <c r="AK25" s="531" t="s">
        <v>319</v>
      </c>
    </row>
    <row r="26" spans="1:45" ht="17.25" customHeight="1" x14ac:dyDescent="0.35">
      <c r="A26" s="67" t="s">
        <v>11</v>
      </c>
      <c r="B26" s="377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s="2" t="s">
        <v>251</v>
      </c>
      <c r="AE26" s="546"/>
      <c r="AF26" s="547"/>
      <c r="AG26" s="547"/>
      <c r="AH26" s="547"/>
      <c r="AI26" s="547"/>
      <c r="AJ26" s="548"/>
      <c r="AK26" s="41">
        <v>0</v>
      </c>
    </row>
    <row r="27" spans="1:45" x14ac:dyDescent="0.35">
      <c r="A27" s="67" t="s">
        <v>12</v>
      </c>
      <c r="B27" s="377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s="2" t="s">
        <v>298</v>
      </c>
      <c r="AE27" s="502" t="s">
        <v>299</v>
      </c>
      <c r="AF27" s="504"/>
      <c r="AG27" s="504"/>
      <c r="AH27" s="504"/>
      <c r="AI27" s="504"/>
      <c r="AJ27" s="504"/>
      <c r="AK27" s="503">
        <f>2*1.25+1.5</f>
        <v>4</v>
      </c>
    </row>
    <row r="28" spans="1:45" x14ac:dyDescent="0.35">
      <c r="A28" s="67" t="s">
        <v>12</v>
      </c>
      <c r="B28" s="377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s="2" t="s">
        <v>300</v>
      </c>
      <c r="AE28" s="502" t="s">
        <v>301</v>
      </c>
      <c r="AF28" s="504"/>
      <c r="AG28" s="504"/>
      <c r="AH28" s="504"/>
      <c r="AI28" s="504"/>
      <c r="AJ28" s="504"/>
      <c r="AK28" s="503">
        <f>2*0.5+2*0.75+1.5</f>
        <v>4</v>
      </c>
    </row>
    <row r="29" spans="1:45" x14ac:dyDescent="0.35">
      <c r="A29" s="67" t="s">
        <v>29</v>
      </c>
      <c r="B29" s="377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  <c r="AD29" s="2" t="s">
        <v>302</v>
      </c>
      <c r="AE29" s="501" t="s">
        <v>320</v>
      </c>
      <c r="AF29" s="504"/>
      <c r="AG29" s="504"/>
      <c r="AH29" s="504"/>
      <c r="AI29" s="504"/>
      <c r="AJ29" s="504"/>
      <c r="AK29" s="41">
        <v>4</v>
      </c>
    </row>
    <row r="30" spans="1:45" x14ac:dyDescent="0.35">
      <c r="A30" s="67" t="s">
        <v>14</v>
      </c>
      <c r="B30" s="377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/>
      <c r="Z30" s="41"/>
      <c r="AA30" s="44"/>
      <c r="AB30" s="288">
        <v>0.5</v>
      </c>
      <c r="AD30" s="2" t="s">
        <v>304</v>
      </c>
      <c r="AE30" s="501" t="s">
        <v>323</v>
      </c>
      <c r="AF30" s="504"/>
      <c r="AG30" s="504"/>
      <c r="AH30" s="504"/>
      <c r="AI30" s="504"/>
      <c r="AJ30" s="504"/>
      <c r="AK30" s="41">
        <v>5</v>
      </c>
    </row>
    <row r="31" spans="1:45" x14ac:dyDescent="0.35">
      <c r="A31" s="14" t="s">
        <v>11</v>
      </c>
      <c r="B31" s="375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D31" s="2" t="s">
        <v>306</v>
      </c>
      <c r="AE31" s="501" t="s">
        <v>307</v>
      </c>
      <c r="AF31" s="504"/>
      <c r="AG31" s="504"/>
      <c r="AH31" s="504"/>
      <c r="AI31" s="504"/>
      <c r="AJ31" s="504"/>
      <c r="AK31" s="41">
        <f>1.25+1+1</f>
        <v>3.25</v>
      </c>
    </row>
    <row r="32" spans="1:45" x14ac:dyDescent="0.35">
      <c r="A32" s="14" t="s">
        <v>11</v>
      </c>
      <c r="B32" s="375" t="s">
        <v>8</v>
      </c>
      <c r="C32" s="6"/>
      <c r="D32" s="2"/>
      <c r="E32" s="2"/>
      <c r="F32" s="2"/>
      <c r="G32" s="7"/>
      <c r="H32" s="545" t="s">
        <v>321</v>
      </c>
      <c r="I32" s="545" t="s">
        <v>321</v>
      </c>
      <c r="J32" s="545" t="s">
        <v>321</v>
      </c>
      <c r="K32" s="545" t="s">
        <v>321</v>
      </c>
      <c r="L32" s="545" t="s">
        <v>321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D32" s="2" t="s">
        <v>31</v>
      </c>
      <c r="AE32" s="501" t="s">
        <v>308</v>
      </c>
      <c r="AF32" s="504"/>
      <c r="AG32" s="504"/>
      <c r="AH32" s="504"/>
      <c r="AI32" s="504"/>
      <c r="AJ32" s="504"/>
      <c r="AK32" s="41">
        <v>1.25</v>
      </c>
    </row>
    <row r="33" spans="1:43" ht="15" thickBot="1" x14ac:dyDescent="0.4">
      <c r="A33" s="256" t="s">
        <v>12</v>
      </c>
      <c r="B33" s="378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E33" s="287"/>
    </row>
    <row r="34" spans="1:43" x14ac:dyDescent="0.35">
      <c r="B34" s="529" t="s">
        <v>310</v>
      </c>
      <c r="G34" s="528">
        <f>3/10</f>
        <v>0.3</v>
      </c>
      <c r="L34" s="527">
        <f>2/10</f>
        <v>0.2</v>
      </c>
      <c r="Q34" s="527">
        <f>3/10</f>
        <v>0.3</v>
      </c>
      <c r="V34" s="527">
        <f>2/10</f>
        <v>0.2</v>
      </c>
      <c r="AA34" s="527">
        <f>3/10</f>
        <v>0.3</v>
      </c>
      <c r="AE34" s="287"/>
    </row>
    <row r="35" spans="1:43" x14ac:dyDescent="0.35">
      <c r="G35" s="528"/>
      <c r="AQ35" s="292"/>
    </row>
    <row r="36" spans="1:43" x14ac:dyDescent="0.35">
      <c r="A36" s="532"/>
      <c r="B36" t="s">
        <v>316</v>
      </c>
      <c r="AQ36" s="292"/>
    </row>
    <row r="37" spans="1:43" x14ac:dyDescent="0.35">
      <c r="A37" s="539"/>
      <c r="B37" t="s">
        <v>317</v>
      </c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Q37" s="292"/>
    </row>
    <row r="38" spans="1:43" x14ac:dyDescent="0.35">
      <c r="A38" s="287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Q38" s="292"/>
    </row>
    <row r="39" spans="1:43" x14ac:dyDescent="0.35">
      <c r="B39" s="51" t="s">
        <v>259</v>
      </c>
      <c r="C39" s="411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Q39" s="292"/>
    </row>
    <row r="40" spans="1:43" x14ac:dyDescent="0.35">
      <c r="B40" t="s">
        <v>241</v>
      </c>
      <c r="C40" s="411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 spans="1:43" x14ac:dyDescent="0.35">
      <c r="B41" t="s">
        <v>242</v>
      </c>
      <c r="C41" s="411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 spans="1:43" x14ac:dyDescent="0.35">
      <c r="B42" t="s">
        <v>243</v>
      </c>
      <c r="C42" s="411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 spans="1:43" x14ac:dyDescent="0.35">
      <c r="B43" t="s">
        <v>244</v>
      </c>
      <c r="C43" s="412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 spans="1:43" x14ac:dyDescent="0.35">
      <c r="B44" t="s">
        <v>245</v>
      </c>
      <c r="C44" s="411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 spans="1:43" x14ac:dyDescent="0.35">
      <c r="B45" s="540" t="s">
        <v>318</v>
      </c>
      <c r="C45" s="411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 spans="1:43" x14ac:dyDescent="0.35">
      <c r="B46" t="s">
        <v>247</v>
      </c>
      <c r="C46" s="411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</row>
    <row r="47" spans="1:43" x14ac:dyDescent="0.35">
      <c r="B47" t="s">
        <v>248</v>
      </c>
      <c r="C47" s="411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</row>
    <row r="48" spans="1:43" x14ac:dyDescent="0.35">
      <c r="B48" s="286"/>
      <c r="C48" s="411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</row>
    <row r="49" spans="2:42" x14ac:dyDescent="0.35">
      <c r="B49" s="287"/>
      <c r="C49" s="530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6"/>
      <c r="R49" s="286"/>
      <c r="S49" s="286"/>
      <c r="T49" s="286"/>
      <c r="V49" s="286"/>
      <c r="W49" s="286"/>
      <c r="X49" s="286"/>
      <c r="Y49" s="286"/>
      <c r="Z49" s="286"/>
      <c r="AA49" s="286"/>
      <c r="AB49" s="286"/>
      <c r="AC49" s="286"/>
    </row>
    <row r="50" spans="2:42" x14ac:dyDescent="0.35"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</row>
    <row r="51" spans="2:42" ht="15.5" x14ac:dyDescent="0.35">
      <c r="AD51" s="293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</row>
    <row r="52" spans="2:42" ht="15.5" x14ac:dyDescent="0.35">
      <c r="AD52" s="293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</row>
    <row r="53" spans="2:42" x14ac:dyDescent="0.35">
      <c r="AD53" s="292"/>
      <c r="AE53" s="292"/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</row>
  </sheetData>
  <mergeCells count="1">
    <mergeCell ref="AE26:AJ26"/>
  </mergeCells>
  <conditionalFormatting sqref="AF12:A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:AS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3"/>
  <sheetViews>
    <sheetView topLeftCell="A20" zoomScale="54" workbookViewId="0">
      <selection activeCell="AD51" sqref="AD51"/>
    </sheetView>
  </sheetViews>
  <sheetFormatPr baseColWidth="10" defaultRowHeight="14.5" x14ac:dyDescent="0.35"/>
  <cols>
    <col min="1" max="1" width="6.7265625" customWidth="1"/>
    <col min="2" max="2" width="8.26953125" customWidth="1"/>
    <col min="3" max="27" width="4.81640625" customWidth="1"/>
    <col min="28" max="28" width="6.453125" customWidth="1"/>
    <col min="29" max="29" width="5.81640625" customWidth="1"/>
    <col min="30" max="30" width="31.54296875" customWidth="1"/>
  </cols>
  <sheetData>
    <row r="1" spans="1:42" ht="29" thickBot="1" x14ac:dyDescent="0.4">
      <c r="B1" s="66" t="s">
        <v>236</v>
      </c>
      <c r="AF1" t="s">
        <v>251</v>
      </c>
      <c r="AG1" t="s">
        <v>102</v>
      </c>
      <c r="AH1" t="s">
        <v>99</v>
      </c>
      <c r="AI1" t="s">
        <v>45</v>
      </c>
      <c r="AJ1" t="s">
        <v>44</v>
      </c>
      <c r="AK1" t="s">
        <v>97</v>
      </c>
      <c r="AL1" t="s">
        <v>46</v>
      </c>
      <c r="AM1" t="s">
        <v>98</v>
      </c>
      <c r="AN1" t="s">
        <v>47</v>
      </c>
      <c r="AO1" t="s">
        <v>31</v>
      </c>
    </row>
    <row r="2" spans="1:42" ht="18.75" customHeight="1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4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  <c r="AB2" t="s">
        <v>262</v>
      </c>
      <c r="AD2" s="308"/>
      <c r="AE2" s="319" t="s">
        <v>253</v>
      </c>
      <c r="AF2" s="134" t="s">
        <v>251</v>
      </c>
      <c r="AG2" s="134" t="s">
        <v>102</v>
      </c>
      <c r="AH2" s="106" t="s">
        <v>48</v>
      </c>
      <c r="AI2" s="107" t="s">
        <v>50</v>
      </c>
      <c r="AJ2" s="108" t="s">
        <v>49</v>
      </c>
      <c r="AK2" s="170" t="s">
        <v>33</v>
      </c>
      <c r="AL2" s="104" t="s">
        <v>53</v>
      </c>
      <c r="AM2" s="186" t="s">
        <v>216</v>
      </c>
      <c r="AN2" s="188" t="s">
        <v>51</v>
      </c>
      <c r="AO2" s="190" t="s">
        <v>31</v>
      </c>
    </row>
    <row r="3" spans="1:42" ht="18.75" customHeight="1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2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  <c r="AD3" s="309" t="s">
        <v>100</v>
      </c>
      <c r="AE3" s="320">
        <v>39</v>
      </c>
      <c r="AF3" s="127">
        <v>1</v>
      </c>
      <c r="AG3" s="127">
        <v>5</v>
      </c>
      <c r="AH3" s="110">
        <v>8</v>
      </c>
      <c r="AI3" s="111">
        <v>6.3</v>
      </c>
      <c r="AJ3" s="112">
        <v>6</v>
      </c>
      <c r="AK3" s="113">
        <v>4</v>
      </c>
      <c r="AL3" s="114">
        <v>4</v>
      </c>
      <c r="AM3" s="187">
        <v>2</v>
      </c>
      <c r="AN3" s="189">
        <v>2</v>
      </c>
      <c r="AO3" s="191">
        <v>1</v>
      </c>
    </row>
    <row r="4" spans="1:42" ht="18.75" customHeight="1" x14ac:dyDescent="0.35">
      <c r="A4" s="82" t="s">
        <v>11</v>
      </c>
      <c r="B4" s="269" t="s">
        <v>217</v>
      </c>
      <c r="C4" s="84" t="s">
        <v>48</v>
      </c>
      <c r="D4" s="273" t="s">
        <v>48</v>
      </c>
      <c r="E4" s="192"/>
      <c r="F4" s="85" t="s">
        <v>48</v>
      </c>
      <c r="G4" s="86" t="s">
        <v>48</v>
      </c>
      <c r="H4" s="285"/>
      <c r="J4" s="85" t="s">
        <v>48</v>
      </c>
      <c r="K4" s="85" t="s">
        <v>48</v>
      </c>
      <c r="L4" s="200" t="s">
        <v>48</v>
      </c>
      <c r="M4" s="87"/>
      <c r="N4" s="88"/>
      <c r="O4" s="88"/>
      <c r="P4" s="88"/>
      <c r="Q4" s="90"/>
      <c r="R4" s="87"/>
      <c r="S4" s="88"/>
      <c r="T4" s="88"/>
      <c r="U4" s="88"/>
      <c r="V4" s="90"/>
      <c r="W4" s="87"/>
      <c r="X4" s="88"/>
      <c r="Y4" s="88"/>
      <c r="Z4" s="88"/>
      <c r="AA4" s="90"/>
      <c r="AB4" s="287">
        <f>1</f>
        <v>1</v>
      </c>
      <c r="AD4" s="310" t="s">
        <v>101</v>
      </c>
      <c r="AE4" s="321">
        <v>33</v>
      </c>
      <c r="AF4" s="289">
        <v>1</v>
      </c>
      <c r="AG4" s="289"/>
      <c r="AH4" s="290">
        <v>8</v>
      </c>
      <c r="AI4" s="290">
        <v>6</v>
      </c>
      <c r="AJ4" s="290">
        <v>6</v>
      </c>
      <c r="AK4" s="290">
        <v>4</v>
      </c>
      <c r="AL4" s="290">
        <v>4</v>
      </c>
      <c r="AM4" s="291">
        <v>2</v>
      </c>
      <c r="AN4" s="291">
        <v>2</v>
      </c>
      <c r="AO4" s="290">
        <v>1</v>
      </c>
    </row>
    <row r="5" spans="1:42" ht="18.75" customHeight="1" x14ac:dyDescent="0.35">
      <c r="A5" s="271" t="s">
        <v>11</v>
      </c>
      <c r="B5" s="272" t="s">
        <v>237</v>
      </c>
      <c r="C5" s="251"/>
      <c r="E5" s="274"/>
      <c r="F5" s="276"/>
      <c r="G5" s="277"/>
      <c r="H5" s="278"/>
      <c r="I5" s="4" t="s">
        <v>48</v>
      </c>
      <c r="J5" s="276"/>
      <c r="K5" s="276"/>
      <c r="L5" s="279"/>
      <c r="M5" s="59"/>
      <c r="N5" s="58"/>
      <c r="O5" s="58"/>
      <c r="P5" s="58"/>
      <c r="Q5" s="61"/>
      <c r="R5" s="59"/>
      <c r="S5" s="58"/>
      <c r="T5" s="58"/>
      <c r="U5" s="58"/>
      <c r="V5" s="61"/>
      <c r="W5" s="59"/>
      <c r="X5" s="58"/>
      <c r="Y5" s="58"/>
      <c r="Z5" s="58"/>
      <c r="AA5" s="61"/>
      <c r="AB5" s="287">
        <v>1.5</v>
      </c>
      <c r="AD5" s="310" t="s">
        <v>254</v>
      </c>
      <c r="AE5" s="321">
        <f>(AE3-7)*25</f>
        <v>800</v>
      </c>
      <c r="AF5" s="304">
        <f t="shared" ref="AF5:AN5" si="0">AF3*25</f>
        <v>25</v>
      </c>
      <c r="AG5" s="304">
        <f t="shared" si="0"/>
        <v>125</v>
      </c>
      <c r="AH5" s="304">
        <f t="shared" si="0"/>
        <v>200</v>
      </c>
      <c r="AI5" s="304">
        <f t="shared" si="0"/>
        <v>157.5</v>
      </c>
      <c r="AJ5" s="304">
        <f t="shared" si="0"/>
        <v>150</v>
      </c>
      <c r="AK5" s="304">
        <f t="shared" si="0"/>
        <v>100</v>
      </c>
      <c r="AL5" s="304">
        <f t="shared" si="0"/>
        <v>100</v>
      </c>
      <c r="AM5" s="304">
        <f t="shared" si="0"/>
        <v>50</v>
      </c>
      <c r="AN5" s="304">
        <f t="shared" si="0"/>
        <v>50</v>
      </c>
      <c r="AO5" s="304">
        <f>AO3*25</f>
        <v>25</v>
      </c>
    </row>
    <row r="6" spans="1:42" ht="18.75" customHeight="1" x14ac:dyDescent="0.35">
      <c r="A6" s="91" t="s">
        <v>11</v>
      </c>
      <c r="B6" s="5" t="s">
        <v>218</v>
      </c>
      <c r="C6" s="6"/>
      <c r="D6" s="2"/>
      <c r="E6" s="2"/>
      <c r="F6" s="2"/>
      <c r="G6" s="7"/>
      <c r="H6" s="196"/>
      <c r="I6" s="2"/>
      <c r="J6" s="2"/>
      <c r="K6" s="2"/>
      <c r="L6" s="1"/>
      <c r="M6" s="6"/>
      <c r="N6" s="2"/>
      <c r="O6" s="2"/>
      <c r="P6" s="2"/>
      <c r="Q6" s="7"/>
      <c r="R6" s="6"/>
      <c r="S6" s="2"/>
      <c r="T6" s="2"/>
      <c r="U6" s="2"/>
      <c r="V6" s="7"/>
      <c r="W6" s="8" t="s">
        <v>48</v>
      </c>
      <c r="X6" s="2"/>
      <c r="Y6" s="4" t="s">
        <v>48</v>
      </c>
      <c r="Z6" s="4" t="s">
        <v>48</v>
      </c>
      <c r="AA6" s="9" t="s">
        <v>48</v>
      </c>
      <c r="AB6" s="287">
        <v>1</v>
      </c>
      <c r="AD6" s="311"/>
      <c r="AE6" s="322"/>
      <c r="AF6" s="130"/>
      <c r="AG6" s="130"/>
      <c r="AH6" s="120"/>
      <c r="AI6" s="120"/>
      <c r="AJ6" s="120"/>
      <c r="AK6" s="120"/>
      <c r="AL6" s="120"/>
      <c r="AM6" s="185"/>
      <c r="AN6" s="185"/>
      <c r="AO6" s="120"/>
    </row>
    <row r="7" spans="1:42" ht="18.75" customHeight="1" x14ac:dyDescent="0.35">
      <c r="A7" s="91" t="s">
        <v>11</v>
      </c>
      <c r="B7" s="5" t="s">
        <v>221</v>
      </c>
      <c r="C7" s="6"/>
      <c r="D7" s="2"/>
      <c r="E7" s="97"/>
      <c r="F7" s="2"/>
      <c r="G7" s="7"/>
      <c r="H7" s="98" t="s">
        <v>48</v>
      </c>
      <c r="I7" s="4" t="s">
        <v>48</v>
      </c>
      <c r="J7" s="4" t="s">
        <v>48</v>
      </c>
      <c r="K7" s="4" t="s">
        <v>48</v>
      </c>
      <c r="L7" s="33" t="s">
        <v>48</v>
      </c>
      <c r="M7" s="28" t="s">
        <v>33</v>
      </c>
      <c r="N7" s="4" t="s">
        <v>48</v>
      </c>
      <c r="O7" s="4" t="s">
        <v>48</v>
      </c>
      <c r="P7" s="4" t="s">
        <v>48</v>
      </c>
      <c r="Q7" s="9" t="s">
        <v>48</v>
      </c>
      <c r="R7" s="6"/>
      <c r="S7" s="31"/>
      <c r="T7" s="31"/>
      <c r="U7" s="31"/>
      <c r="V7" s="7"/>
      <c r="W7" s="14" t="s">
        <v>49</v>
      </c>
      <c r="X7" s="8" t="s">
        <v>48</v>
      </c>
      <c r="Y7" s="4" t="s">
        <v>48</v>
      </c>
      <c r="Z7" s="20" t="s">
        <v>51</v>
      </c>
      <c r="AA7" s="9" t="s">
        <v>48</v>
      </c>
      <c r="AB7" s="287">
        <v>1</v>
      </c>
      <c r="AD7" s="312" t="s">
        <v>61</v>
      </c>
      <c r="AE7" s="323">
        <v>156</v>
      </c>
      <c r="AF7" s="315">
        <f>(COUNTIF($C$4:$AA$33,$AF$2))</f>
        <v>5</v>
      </c>
      <c r="AG7" s="306"/>
      <c r="AH7" s="306">
        <f>(COUNTIF($C$4:$AA$33,$AH$2))</f>
        <v>53</v>
      </c>
      <c r="AI7" s="306">
        <f>(COUNTIF($C$4:$AA$33,$AI$2))</f>
        <v>46</v>
      </c>
      <c r="AJ7" s="306">
        <f>(COUNTIF($C$4:$AA$33,$AJ$2))</f>
        <v>41</v>
      </c>
      <c r="AK7" s="306">
        <f>(COUNTIF($C$4:$AA$33,"S"))</f>
        <v>18</v>
      </c>
      <c r="AL7" s="306">
        <f>(COUNTIF($C$4:$AA$33,"P"))</f>
        <v>29</v>
      </c>
      <c r="AM7" s="306">
        <f>(COUNTIF($C$4:$AA$33,"N"))</f>
        <v>4</v>
      </c>
      <c r="AN7" s="306">
        <f>(COUNTIF($C$4:$AA$33,"C"))</f>
        <v>15</v>
      </c>
      <c r="AO7" s="306">
        <f>(COUNTIF($C$4:$AA$33,"SG"))</f>
        <v>1</v>
      </c>
    </row>
    <row r="8" spans="1:42" ht="18.75" customHeight="1" x14ac:dyDescent="0.35">
      <c r="A8" s="91" t="s">
        <v>11</v>
      </c>
      <c r="B8" s="5" t="s">
        <v>222</v>
      </c>
      <c r="C8" s="296"/>
      <c r="D8" s="31"/>
      <c r="E8" s="31"/>
      <c r="F8" s="31"/>
      <c r="G8" s="250"/>
      <c r="H8" s="98" t="s">
        <v>48</v>
      </c>
      <c r="I8" s="27" t="s">
        <v>33</v>
      </c>
      <c r="J8" s="2"/>
      <c r="K8" s="27" t="s">
        <v>33</v>
      </c>
      <c r="L8" s="163" t="s">
        <v>33</v>
      </c>
      <c r="M8" s="30"/>
      <c r="N8" s="165" t="s">
        <v>251</v>
      </c>
      <c r="O8" s="31"/>
      <c r="P8" s="31"/>
      <c r="Q8" s="250"/>
      <c r="R8" s="4" t="s">
        <v>48</v>
      </c>
      <c r="S8" s="4" t="s">
        <v>48</v>
      </c>
      <c r="T8" s="4" t="s">
        <v>48</v>
      </c>
      <c r="U8" s="4" t="s">
        <v>48</v>
      </c>
      <c r="V8" s="344" t="s">
        <v>48</v>
      </c>
      <c r="W8" s="6"/>
      <c r="X8" s="2"/>
      <c r="Y8" s="2"/>
      <c r="Z8" s="2"/>
      <c r="AA8" s="7"/>
      <c r="AB8" s="287">
        <v>1</v>
      </c>
      <c r="AD8" s="312" t="s">
        <v>249</v>
      </c>
      <c r="AE8" s="324">
        <f>AH8+AI8+AJ8+AK8+AL8+AN8+AF8+AM8+AO8</f>
        <v>223</v>
      </c>
      <c r="AF8" s="316">
        <f>COUNTIF($C$4:$AA$4,$AF$2)*$AB$4+COUNTIF($C$5:$AA$5,$AF$2)*$AB$5+COUNTIF($C$6:$AA$6,$AF$2)*$AB$6+COUNTIF($C$7:$AA$7,$AF$2)*$AB$7+COUNTIF($C$8:$AA$8,$AF$2)*$AB$8+COUNTIF($C$9:$AA$9,$AF$2)*$AB$9+COUNTIF($C$10:$AA$10,$AF$2)*$AB$10+COUNTIF($C$11:$AA$11,$AF$2)*$AB$11+COUNTIF($C$12:$AA$12,$AF$2)*$AB$12+COUNTIF($C$13:$AA$13,$AF$2)*$AB$13+COUNTIF($C$14:$AA$14,$AF$2)*$AB$14+COUNTIF($C$15:$AA$15,$AF$2)*$AB$15+COUNTIF($C$16:$AA$16,$AF$2)*$AB$16+COUNTIF($C$17:$AA$17,$AF$2)*$AB$17+COUNTIF($C$18:$AA$18,$AF$2)*$AB$18+COUNTIF($C$19:$AA$19,$AF$2)*$AB$19+COUNTIF($C$20:$AA$20,$AF$2)*$AB$20+COUNTIF($C$21:$AA$21,$AF$2)*$AB$21+COUNTIF($C$22:$AA$22,$AF$2)*$AB$22+COUNTIF($C$23:$AA$23,$AF$2)*$AB$23+COUNTIF($C$24:$AA$24,$AF$2)*$AB$24+COUNTIF($C$25:$AA$25,$AF$2)*$AB$25+COUNTIF($C$26:$AA$26,$AF$2)*$AB$26+COUNTIF($C$27:$AA$27,$AF$2)*$AB$27+COUNTIF($C$28:$AA$28,$AF$2)*$AB$28+COUNTIF($C$29:$AA$29,$AF$2)*$AB$29+COUNTIF($C$30:$AA$30,$AF$2)*$AB$30+COUNTIF($C$31:$AA$31,$AF$2)*$AB$31+COUNTIF($C$32:$AA$32,$AF$2)*$AB$32+COUNTIF($C$33:$AA$33,$AF$2)*$AB$33</f>
        <v>3</v>
      </c>
      <c r="AG8" s="295">
        <f>4+4+4.25+7.125+3.25</f>
        <v>22.625</v>
      </c>
      <c r="AH8" s="295">
        <f>COUNTIF($C$4:$AA$4,$AH$2)*$AB$4+COUNTIF($C$5:$AA$5,$AH$2)*$AB$5+COUNTIF($C$6:$AA$6,$AH$2)*$AB$6+COUNTIF($C$7:$AA$7,$AH$2)*$AB$7+COUNTIF($C$8:$AA$8,$AH$2)*$AB$8+COUNTIF($C$9:$AA$9,$AH$2)*$AB$9+COUNTIF($C$10:$AA$10,$AH$2)*$AB$10+COUNTIF($C$11:$AA$11,$AH$2)*$AB$11+COUNTIF($C$12:$AA$12,$AH$2)*$AB$12+COUNTIF($C$13:$AA$13,$AH$2)*$AB$13+COUNTIF($C$14:$AA$14,$AH$2)*$AB$14+COUNTIF($C$15:$AA$15,$AH$2)*$AB$15+COUNTIF($C$16:$AA$16,$AH$2)*$AB$16+COUNTIF($C$17:$AA$17,$AH$2)*$AB$17+COUNTIF($C$18:$AA$18,$AH$2)*$AB$18+COUNTIF($C$19:$AA$19,$AH$2)*$AB$19+COUNTIF($C$20:$AA$20,$AH$2)*$AB$20+COUNTIF($C$21:$AA$21,$AH$2)*$AB$21+COUNTIF($C$22:$AA$22,$AH$2)*$AB$22+COUNTIF($C$23:$AA$23,$AH$2)*$AB$23+COUNTIF($C$24:$AA$24,$AH$2)*$AB$24+COUNTIF($C$25:$AA$25,$AH$2)*$AB$25+COUNTIF($C$26:$AA$26,$AH$2)*$AB$26+COUNTIF($C$27:$AA$27,$AH$2)*$AB$27+COUNTIF($C$28:$AA$28,$AH$2)*$AB$28+COUNTIF($C$29:$AA$29,$AH$2)*$AB$29+COUNTIF($C$30:$AA$30,$AH$2)*$AB$30+COUNTIF($C$31:$AA$31,$AH$2)*$AB$31+COUNTIF($C$32:$AA$32,$AH$2)*$AB$32+COUNTIF($C$33:$AA$33,$AH$2)*$AB$33</f>
        <v>58.5</v>
      </c>
      <c r="AI8" s="295">
        <f>COUNTIF($C$4:$AA$4,$AI$2)*$AB$4+COUNTIF($C$5:$AA$5,$AI$2)*$AB$5+COUNTIF($C$6:$AA$6,$AI$2)*$AB$6+COUNTIF($C$7:$AA$7,$AI$2)*$AB$7+COUNTIF($H$8:$AA$8,$AI$2)*$AB$8+COUNTIF($C$9:$AA$9,$AI$2)*$AB$9+COUNTIF($C$10:$AA$10,$AI$2)*0.5*$AB$10+COUNTIF($C$11:$AA$11,$AI$2)*$AB$11+COUNTIF($C$12:$AA$12,$AI$2)*$AB$12+COUNTIF($D$13:$AA$13,$AI$2)*$AB$13+COUNTIF($C$14:$AA$14,$AI$2)*$AB$14+COUNTIF($C$15:$AA$15,$AI$2)*$AB$15+COUNTIF($C$16:$AA$16,$AI$2)*$AB$16+COUNTIF($C$17:$AA$17,$AI$2)*$AB$17+COUNTIF($D$18:$AA$18,$AI$2)*$AB$18+COUNTIF($C$19:$AA$19,$AI$2)*$AB$19+COUNTIF($C$20:$AA$20,$AI$2)*$AB$20+COUNTIF($C$21:$AA$21,$AI$2)*$AB$21+COUNTIF($C$22:$AA$22,$AI$2)*$AB$22+COUNTIF($C$23:$AA$23,$AI$2)*$AB$23+COUNTIF($C$24:$AA$24,$AI$2)*$AB$24+COUNTIF($C$25:$AA$25,$AI$2)*$AB$25+COUNTIF($C$26:$AA$26,$AI$2)*$AB$26+COUNTIF($C$27:$AA$27,$AI$2)*$AB$27+COUNTIF($C$28:$AA$28,$AI$2)*$AB$28+COUNTIF($C$29:$AA$29,$AI$2)*$AB$29+COUNTIF($C$30:$AA$30,$AI$2)*$AB$30+COUNTIF($C$31:$AA$31,$AI$2)*$AB$31+COUNTIF($C$32:$AA$32,$AI$2)*$AB$32+COUNTIF($C$33:$AA$33,$AI$2)*$AB$33</f>
        <v>45</v>
      </c>
      <c r="AJ8" s="295">
        <f>COUNTIF($C$4:$AA$4,$AJ$2)*$AB$4+COUNTIF($C$5:$AA$5,$AJ$2)*$AB$5+COUNTIF($C$6:$AA$6,$AJ$2)*$AB$6+COUNTIF($C$7:$AA$7,$AJ$2)*$AB$7+COUNTIF($H$8:$AA$8,$AJ$2)*$AB$8+COUNTIF($C$9:$AA$9,$AJ$2)*$AB$9+COUNTIF($C$10:$AA$10,$AJ$2)*$AB$10+COUNTIF($C$11:$AA$11,$AJ$2)*$AB$11+COUNTIF($C$12:$AA$12,$AJ$2)*$AB$12+COUNTIF($D$13:$AA$13,$AJ$2)*$AB$13+COUNTIF($C$14:$AA$14,$AJ$2)*$AB$14+COUNTIF($C$15:$AA$15,$AJ$2)*$AB$15+COUNTIF($C$16:$AA$16,$AJ$2)*$AB$16+COUNTIF($C$17:$AA$17,$AJ$2)*$AB$17+COUNTIF($D$18:$AA$18,$AJ$2)*$AB$18+COUNTIF($C$19:$AA$19,$AJ$2)*$AB$19+COUNTIF($C$20:$AA$20,$AJ$2)*$AB$20+COUNTIF($C$21:$AA$21,$AJ$2)*$AB$21+COUNTIF($C$22:$AA$22,$AJ$2)*$AB$22+COUNTIF($C$23:$AA$23,$AJ$2)*$AB$23+COUNTIF($C$24:$AA$24,$AJ$2)*$AB$24+COUNTIF($C$25:$AA$25,$AJ$2)*$AB$25+COUNTIF($C$26:$AA$26,$AJ$2)*$AB$26+COUNTIF($C$27:$AA$27,$AJ$2)*$AB$27+COUNTIF($C$28:$AA$28,$AJ$2)*$AB$28+COUNTIF($C$29:$AA$29,$AJ$2)*$AB$29+COUNTIF($C$30:$AA$30,$AJ$2)*$AB$30+COUNTIF($C$31:$AA$31,$AJ$2)*$AB$31+COUNTIF($C$32:$AA$32,$AJ$2)*$AB$32+COUNTIF($C$33:$AA$33,$AJ$2)*$AB$33</f>
        <v>44</v>
      </c>
      <c r="AK8" s="295">
        <f>COUNTIF($C$4:$AA$4,$AK$2)*$AB$4+COUNTIF($C$5:$AA$5,$AK$2)*$AB$5+COUNTIF($C$6:$AA$6,$AK$2)*$AB$6+COUNTIF($C$7:$AA$7,$AK$2)*$AB$7+COUNTIF($H$8:$AA$8,$AK$2)*$AB$8+COUNTIF($C$9:$AA$9,$AK$2)*$AB$9+COUNTIF($C$10:$AA$10,$AK$2)*$AB$10+COUNTIF($C$11:$AA$11,$AK$2)*$AB$11+COUNTIF($C$12:$AA$12,$AK$2)*$AB$12+COUNTIF($D$13:$AA$13,$AK$2)*$AB$13+COUNTIF($C$14:$AA$14,$AK$2)*$AB$14+COUNTIF($C$15:$AA$15,$AK$2)*$AB$15+COUNTIF($C$16:$AA$16,$AK$2)*$AB$16+COUNTIF($C$17:$AA$17,$AK$2)*$AB$17+COUNTIF($D$18:$AA$18,$AK$2)*$AB$18+COUNTIF($C$19:$AA$19,$AK$2)*$AB$19+COUNTIF($C$20:$AA$20,$AK$2)*$AB$20+COUNTIF($C$21:$AA$21,$AK$2)*$AB$21+COUNTIF($C$22:$AA$22,$AK$2)*$AB$22+COUNTIF($C$23:$AA$23,$AK$2)*$AB$23+COUNTIF($C$24:$AA$24,$AK$2)*$AB$24+COUNTIF($C$25:$AA$25,$AK$2)*$AB$25+COUNTIF($C$26:$AA$26,$AK$2)*$AB$26+COUNTIF($C$27:$AA$27,$AK$2)*$AB$27+COUNTIF($C$28:$AA$28,$AK$2)*$AB$28+COUNTIF($C$29:$AA$29,$AK$2)*$AB$29+COUNTIF($C$30:$AA$30,$AK$2)*$AB$30+COUNTIF($C$31:$AA$31,$AK$2)*$AB$31+COUNTIF($C$32:$AA$32,$AK$2)*$AB$32+COUNTIF($C$33:$AA$33,$AK$2)*$AB$33</f>
        <v>24.75</v>
      </c>
      <c r="AL8" s="295">
        <f>COUNTIF($C$4:$AA$4,$AL$2)*$AB$4+COUNTIF($C$5:$AA$5,$AL$2)*$AB$5+COUNTIF($C$6:$AA$6,$AL$2)*$AB$6+COUNTIF($C$7:$AA$7,$AL$2)*$AB$7+COUNTIF($H$8:$AA$8,$AL$2)*$AB$8+COUNTIF($C$9:$AA$9,$AL$2)*$AB$9+COUNTIF($C$10:$AA$10,$AL$2)*$AB$10+COUNTIF($C$11:$AA$11,$AL$2)*$AB$11+COUNTIF($C$12:$AA$12,$AL$2)*$AB$12+COUNTIF($D$13:$AA$13,$AL$2)*$AB$13+COUNTIF($C$14:$AA$14,$AL$2)*$AB$14+COUNTIF($C$15:$AA$15,$AL$2)*$AB$15+COUNTIF($C$16:$AA$16,$AL$2)*$AB$16+COUNTIF($C$17:$AA$17,$AL$2)*$AB$17+COUNTIF($D$18:$AA$18,$AL$2)*$AB$18+COUNTIF($C$19:$AA$19,$AL$2)*$AB$19+COUNTIF($C$20:$AA$20,$AL$2)*$AB$20+COUNTIF($C$21:$AA$21,$AL$2)*$AB$21+COUNTIF($C$22:$AA$22,$AL$2)*$AB$22+COUNTIF($C$23:$AA$23,$AL$2)*$AB$23+COUNTIF($C$24:$AA$24,$AL$2)*$AB$24+COUNTIF($C$25:$AA$25,$AL$2)*$AB$25+COUNTIF($C$26:$AA$26,$AL$2)*$AB$26+COUNTIF($C$27:$AA$27,$AL$2)*$AB$27+COUNTIF($C$28:$AA$28,$AL$2)*$AB$28+COUNTIF($C$29:$AA$29,$AL$2)*$AB$29+COUNTIF($C$30:$AA$30,$AL$2)*$AB$30+COUNTIF($C$31:$AA$31,$AL$2)*$AB$31+COUNTIF($C$32:$AA$32,$AL$2)*$AB$32+COUNTIF($C$33:$AA$33,$AL$2)*$AB$33</f>
        <v>27.25</v>
      </c>
      <c r="AM8" s="295">
        <f>COUNTIF($C$4:$AA$4,$AM$2)*$AB$4+COUNTIF($C$5:$AA$5,$AM$2)*$AB$5+COUNTIF($C$6:$AA$6,$AM$2)*$AB$6+COUNTIF($C$7:$AA$7,$AM$2)*$AB$7+COUNTIF($H$8:$AA$8,$AM$2)*$AB$8+COUNTIF($C$9:$AA$9,$AM$2)*$AB$9+COUNTIF($C$10:$AA$10,$AM$2)*$AB$10+COUNTIF($C$11:$AA$11,$AM$2)*$AB$11+COUNTIF($C$12:$AA$12,$AM$2)*$AB$12+COUNTIF($D$13:$AA$13,$AM$2)*$AB$13+COUNTIF($C$14:$AA$14,$AM$2)*$AB$14+COUNTIF($C$15:$AA$15,$AM$2)*$AB$15+COUNTIF($C$16:$AA$16,$AM$2)*$AB$16+COUNTIF($C$17:$AA$17,$AM$2)*$AB$17+COUNTIF($D$18:$AA$18,$AM$2)*$AB$18+COUNTIF($C$19:$AA$19,$AM$2)*$AB$19+COUNTIF($C$20:$AA$20,$AM$2)*$AB$20+COUNTIF($C$21:$AA$21,$AM$2)*$AB$21+COUNTIF($C$22:$AA$22,$AM$2)*$AB$22+COUNTIF($C$23:$AA$23,$AM$2)*$AB$23+COUNTIF($C$24:$AA$24,$AM$2)*$AB$24+COUNTIF($C$25:$AA$25,$AM$2)*$AB$25+COUNTIF($C$26:$AA$26,$AM$2)*$AB$26+COUNTIF($C$27:$AA$27,$AM$2)*$AB$27+COUNTIF($C$28:$AA$28,$AM$2)*$AB$28+COUNTIF($C$29:$AA$29,$AM$2)*$AB$29+COUNTIF($C$30:$AA$30,$AM$2)*$AB$30+COUNTIF($C$31:$AA$31,$AM$2)*$AB$31+COUNTIF($C$32:$AA$32,$AM$2)*$AB$32+COUNTIF($C$33:$AA$33,$AM$2)*$AB$33</f>
        <v>5</v>
      </c>
      <c r="AN8" s="295">
        <f>COUNTIF($C$4:$AA$4,$AN$2)*$AB$4+COUNTIF($C$5:$AA$5,$AN$2)*$AB$5+COUNTIF($C$6:$AA$6,$AN$2)*$AB$6+COUNTIF($C$7:$AA$7,$AN$2)*$AB$7+COUNTIF($H$8:$AA$8,$AN$2)*$AB$8+COUNTIF($C$9:$AA$9,$AN$2)*$AB$9+COUNTIF($C$10:$AA$10,$AN$2)*$AB$10+COUNTIF($C$11:$AA$11,$AN$2)*$AB$11+COUNTIF($C$12:$AA$12,$AN$2)*$AB$12+COUNTIF($D$13:$AA$13,$AN$2)*$AB$13+COUNTIF($C$14:$AA$14,$AN$2)*$AB$14+COUNTIF($C$15:$AA$15,$AN$2)*$AB$15+COUNTIF($C$16:$AA$16,$AN$2)*$AB$16+COUNTIF($C$17:$AA$17,$AN$2)*$AB$17+COUNTIF($D$18:$AA$18,$AN$2)*$AB$18+COUNTIF($C$19:$AA$19,$AN$2)*$AB$19+COUNTIF($C$20:$AA$20,$AN$2)*$AB$20+COUNTIF($C$21:$AA$21,$AN$2)*$AB$21+COUNTIF($C$22:$AA$22,$AN$2)*$AB$22+COUNTIF($C$23:$AA$23,$AN$2)*$AB$23+COUNTIF($C$24:$AA$24,$AN$2)*$AB$24+COUNTIF($C$25:$AA$25,$AN$2)*$AB$25+COUNTIF($C$26:$AA$26,$AN$2)*$AB$26+COUNTIF($C$27:$AA$27,$AN$2)*$AB$27+COUNTIF($C$28:$AA$28,$AN$2)*$AB$28+COUNTIF($C$29:$AA$29,$AN$2)*$AB$29+COUNTIF($C$30:$AA$30,$AN$2)*$AB$30+COUNTIF($C$31:$AA$31,$AN$2)*$AB$31+COUNTIF($C$32:$AA$32,$AN$2)*$AB$32+COUNTIF($C$33:$AA$33,$AN$2)*$AB$33</f>
        <v>14.25</v>
      </c>
      <c r="AO8" s="295">
        <f>AO7*1.25</f>
        <v>1.25</v>
      </c>
    </row>
    <row r="9" spans="1:42" ht="18.75" customHeight="1" x14ac:dyDescent="0.35">
      <c r="A9" s="91" t="s">
        <v>11</v>
      </c>
      <c r="B9" s="5" t="s">
        <v>224</v>
      </c>
      <c r="C9" s="207"/>
      <c r="D9" s="208"/>
      <c r="E9" s="31"/>
      <c r="F9" s="2"/>
      <c r="G9" s="7"/>
      <c r="H9" s="196"/>
      <c r="I9" s="2"/>
      <c r="J9" s="2"/>
      <c r="K9" s="2"/>
      <c r="L9" s="1"/>
      <c r="M9" s="6"/>
      <c r="N9" s="2"/>
      <c r="O9" s="2"/>
      <c r="P9" s="2"/>
      <c r="Q9" s="7"/>
      <c r="R9" s="6"/>
      <c r="S9" s="2"/>
      <c r="T9" s="2"/>
      <c r="U9" s="2"/>
      <c r="V9" s="7"/>
      <c r="W9" s="6"/>
      <c r="X9" s="2"/>
      <c r="Y9" s="2"/>
      <c r="Z9" s="2"/>
      <c r="AA9" s="7"/>
      <c r="AB9" s="287">
        <v>1.5</v>
      </c>
      <c r="AD9" s="312" t="s">
        <v>240</v>
      </c>
      <c r="AE9" s="323"/>
      <c r="AF9" s="294"/>
      <c r="AG9" s="294"/>
      <c r="AH9" s="306">
        <f t="shared" ref="AH9:AO9" si="1">AH7/AH3</f>
        <v>6.625</v>
      </c>
      <c r="AI9" s="306">
        <f t="shared" si="1"/>
        <v>7.3015873015873014</v>
      </c>
      <c r="AJ9" s="306">
        <f t="shared" si="1"/>
        <v>6.833333333333333</v>
      </c>
      <c r="AK9" s="306">
        <f t="shared" si="1"/>
        <v>4.5</v>
      </c>
      <c r="AL9" s="306">
        <f t="shared" si="1"/>
        <v>7.25</v>
      </c>
      <c r="AM9" s="306">
        <f t="shared" si="1"/>
        <v>2</v>
      </c>
      <c r="AN9" s="306">
        <f t="shared" si="1"/>
        <v>7.5</v>
      </c>
      <c r="AO9" s="306">
        <f t="shared" si="1"/>
        <v>1</v>
      </c>
    </row>
    <row r="10" spans="1:42" ht="18.75" customHeight="1" x14ac:dyDescent="0.35">
      <c r="A10" s="91" t="s">
        <v>11</v>
      </c>
      <c r="B10" s="5" t="s">
        <v>9</v>
      </c>
      <c r="C10" s="6"/>
      <c r="D10" s="2"/>
      <c r="E10" s="2"/>
      <c r="F10" s="2"/>
      <c r="G10" s="7"/>
      <c r="H10" s="196"/>
      <c r="I10" s="2"/>
      <c r="J10" s="2"/>
      <c r="K10" s="2"/>
      <c r="L10" s="1"/>
      <c r="M10" s="164" t="s">
        <v>251</v>
      </c>
      <c r="N10" s="15" t="s">
        <v>49</v>
      </c>
      <c r="O10" s="165" t="s">
        <v>251</v>
      </c>
      <c r="P10" s="165" t="s">
        <v>251</v>
      </c>
      <c r="Q10" s="165" t="s">
        <v>251</v>
      </c>
      <c r="R10" s="193" t="s">
        <v>48</v>
      </c>
      <c r="S10" s="297" t="s">
        <v>50</v>
      </c>
      <c r="T10" s="9" t="s">
        <v>48</v>
      </c>
      <c r="U10" s="2"/>
      <c r="V10" s="7"/>
      <c r="W10" s="6"/>
      <c r="X10" s="2"/>
      <c r="Y10" s="2"/>
      <c r="Z10" s="2"/>
      <c r="AA10" s="7"/>
      <c r="AB10" s="287">
        <v>0.5</v>
      </c>
      <c r="AD10" s="312" t="s">
        <v>250</v>
      </c>
      <c r="AE10" s="324">
        <f>(AE8-AG8)/AE4</f>
        <v>6.0719696969696972</v>
      </c>
      <c r="AF10" s="316">
        <f>AF8/AF4</f>
        <v>3</v>
      </c>
      <c r="AG10" s="295"/>
      <c r="AH10" s="295">
        <f>(AH8-4)/AH4</f>
        <v>6.8125</v>
      </c>
      <c r="AI10" s="295">
        <f>(AI8-2.75)/AI3</f>
        <v>6.7063492063492065</v>
      </c>
      <c r="AJ10" s="295">
        <f>(AJ8-4)/AJ4</f>
        <v>6.666666666666667</v>
      </c>
      <c r="AK10" s="295">
        <f>(AK8-7.125)/AK4</f>
        <v>4.40625</v>
      </c>
      <c r="AL10" s="295">
        <f>(AL8-3.25)/AL4</f>
        <v>6</v>
      </c>
      <c r="AM10" s="295">
        <f>AM8/AM4</f>
        <v>2.5</v>
      </c>
      <c r="AN10" s="295">
        <f>(AN8-1.25)/AN4</f>
        <v>6.5</v>
      </c>
      <c r="AO10" s="295">
        <f>AO8/AO4</f>
        <v>1.25</v>
      </c>
    </row>
    <row r="11" spans="1:42" ht="18.75" customHeight="1" thickBot="1" x14ac:dyDescent="0.4">
      <c r="A11" s="92" t="s">
        <v>11</v>
      </c>
      <c r="B11" s="93" t="s">
        <v>35</v>
      </c>
      <c r="C11" s="266"/>
      <c r="D11" s="95" t="s">
        <v>50</v>
      </c>
      <c r="E11" s="267"/>
      <c r="F11" s="95" t="s">
        <v>50</v>
      </c>
      <c r="G11" s="268"/>
      <c r="H11" s="202" t="s">
        <v>50</v>
      </c>
      <c r="I11" s="95" t="s">
        <v>50</v>
      </c>
      <c r="J11" s="95" t="s">
        <v>50</v>
      </c>
      <c r="K11" s="95" t="s">
        <v>50</v>
      </c>
      <c r="L11" s="201" t="s">
        <v>50</v>
      </c>
      <c r="M11" s="94" t="s">
        <v>50</v>
      </c>
      <c r="N11" s="95" t="s">
        <v>50</v>
      </c>
      <c r="O11" s="95" t="s">
        <v>50</v>
      </c>
      <c r="P11" s="95" t="s">
        <v>50</v>
      </c>
      <c r="Q11" s="96" t="s">
        <v>50</v>
      </c>
      <c r="R11" s="94" t="s">
        <v>50</v>
      </c>
      <c r="S11" s="95" t="s">
        <v>50</v>
      </c>
      <c r="T11" s="95" t="s">
        <v>50</v>
      </c>
      <c r="U11" s="95" t="s">
        <v>50</v>
      </c>
      <c r="V11" s="96" t="s">
        <v>50</v>
      </c>
      <c r="W11" s="95" t="s">
        <v>50</v>
      </c>
      <c r="X11" s="11"/>
      <c r="Y11" s="95" t="s">
        <v>50</v>
      </c>
      <c r="Z11" s="95" t="s">
        <v>50</v>
      </c>
      <c r="AA11" s="95" t="s">
        <v>50</v>
      </c>
      <c r="AB11" s="287">
        <v>1</v>
      </c>
      <c r="AD11" s="310" t="s">
        <v>62</v>
      </c>
      <c r="AE11" s="321">
        <f>AH11+AI11+AJ11+AK11+AL11+AN11</f>
        <v>400</v>
      </c>
      <c r="AF11" s="298"/>
      <c r="AG11" s="298"/>
      <c r="AH11" s="299">
        <f>25*2*2</f>
        <v>100</v>
      </c>
      <c r="AI11" s="299">
        <f>25*2*2</f>
        <v>100</v>
      </c>
      <c r="AJ11" s="300">
        <f>25*2</f>
        <v>50</v>
      </c>
      <c r="AK11" s="300">
        <f t="shared" ref="AK11:AN11" si="2">25*2</f>
        <v>50</v>
      </c>
      <c r="AL11" s="300">
        <f t="shared" si="2"/>
        <v>50</v>
      </c>
      <c r="AM11" s="300"/>
      <c r="AN11" s="300">
        <f t="shared" si="2"/>
        <v>50</v>
      </c>
      <c r="AO11" s="300"/>
    </row>
    <row r="12" spans="1:42" ht="18.75" customHeight="1" x14ac:dyDescent="0.35">
      <c r="A12" s="203" t="s">
        <v>12</v>
      </c>
      <c r="B12" s="204" t="s">
        <v>225</v>
      </c>
      <c r="C12" s="87"/>
      <c r="D12" s="88"/>
      <c r="E12" s="88"/>
      <c r="F12" s="88"/>
      <c r="G12" s="90"/>
      <c r="H12" s="87"/>
      <c r="I12" s="88"/>
      <c r="J12" s="88"/>
      <c r="K12" s="88"/>
      <c r="L12" s="90"/>
      <c r="M12" s="59"/>
      <c r="N12" s="79" t="s">
        <v>33</v>
      </c>
      <c r="O12" s="58"/>
      <c r="P12" s="58"/>
      <c r="Q12" s="61"/>
      <c r="R12" s="80" t="s">
        <v>33</v>
      </c>
      <c r="S12" s="79" t="s">
        <v>33</v>
      </c>
      <c r="T12" s="79" t="s">
        <v>33</v>
      </c>
      <c r="U12" s="79" t="s">
        <v>33</v>
      </c>
      <c r="V12" s="81" t="s">
        <v>33</v>
      </c>
      <c r="W12" s="80" t="s">
        <v>33</v>
      </c>
      <c r="X12" s="79" t="s">
        <v>33</v>
      </c>
      <c r="Y12" s="79" t="s">
        <v>33</v>
      </c>
      <c r="Z12" s="79" t="s">
        <v>33</v>
      </c>
      <c r="AA12" s="81" t="s">
        <v>33</v>
      </c>
      <c r="AB12" s="287">
        <v>1.5</v>
      </c>
      <c r="AD12" s="313" t="s">
        <v>90</v>
      </c>
      <c r="AE12" s="325">
        <f>(AE11-9)/AE3</f>
        <v>10.025641025641026</v>
      </c>
      <c r="AF12" s="317">
        <f>AF11/AF3</f>
        <v>0</v>
      </c>
      <c r="AG12" s="307"/>
      <c r="AH12" s="307">
        <f t="shared" ref="AH12:AO12" si="3">AH11/AH3</f>
        <v>12.5</v>
      </c>
      <c r="AI12" s="307">
        <f t="shared" si="3"/>
        <v>15.873015873015873</v>
      </c>
      <c r="AJ12" s="307">
        <f t="shared" si="3"/>
        <v>8.3333333333333339</v>
      </c>
      <c r="AK12" s="307">
        <f t="shared" si="3"/>
        <v>12.5</v>
      </c>
      <c r="AL12" s="307">
        <f t="shared" si="3"/>
        <v>12.5</v>
      </c>
      <c r="AM12" s="307">
        <f t="shared" si="3"/>
        <v>0</v>
      </c>
      <c r="AN12" s="307">
        <f t="shared" si="3"/>
        <v>25</v>
      </c>
      <c r="AO12" s="307">
        <f t="shared" si="3"/>
        <v>0</v>
      </c>
    </row>
    <row r="13" spans="1:42" ht="18.75" customHeight="1" x14ac:dyDescent="0.35">
      <c r="A13" s="280" t="s">
        <v>12</v>
      </c>
      <c r="B13" s="281" t="s">
        <v>238</v>
      </c>
      <c r="C13" s="251"/>
      <c r="D13" s="58"/>
      <c r="E13" s="58"/>
      <c r="F13" s="58"/>
      <c r="G13" s="61"/>
      <c r="H13" s="14" t="s">
        <v>49</v>
      </c>
      <c r="I13" s="58"/>
      <c r="J13" s="58"/>
      <c r="K13" s="58"/>
      <c r="L13" s="61"/>
      <c r="M13" s="59"/>
      <c r="N13" s="276"/>
      <c r="O13" s="276"/>
      <c r="P13" s="276"/>
      <c r="Q13" s="277"/>
      <c r="R13" s="275"/>
      <c r="S13" s="276"/>
      <c r="T13" s="276"/>
      <c r="U13" s="276"/>
      <c r="V13" s="277"/>
      <c r="W13" s="275"/>
      <c r="X13" s="276"/>
      <c r="Y13" s="276"/>
      <c r="Z13" s="276"/>
      <c r="AA13" s="277"/>
      <c r="AB13" s="287">
        <v>1</v>
      </c>
      <c r="AD13" s="314" t="s">
        <v>43</v>
      </c>
      <c r="AE13" s="326">
        <f>AE5-AE8-AE11</f>
        <v>177</v>
      </c>
      <c r="AF13" s="318"/>
      <c r="AG13" s="305"/>
      <c r="AH13" s="305">
        <f t="shared" ref="AH13:AO13" si="4">AH5-AH8-AH11</f>
        <v>41.5</v>
      </c>
      <c r="AI13" s="305">
        <f t="shared" si="4"/>
        <v>12.5</v>
      </c>
      <c r="AJ13" s="305">
        <f t="shared" si="4"/>
        <v>56</v>
      </c>
      <c r="AK13" s="305">
        <f t="shared" si="4"/>
        <v>25.25</v>
      </c>
      <c r="AL13" s="305">
        <f t="shared" si="4"/>
        <v>22.75</v>
      </c>
      <c r="AM13" s="305">
        <f t="shared" si="4"/>
        <v>45</v>
      </c>
      <c r="AN13" s="305">
        <f t="shared" si="4"/>
        <v>-14.25</v>
      </c>
      <c r="AO13" s="305">
        <f t="shared" si="4"/>
        <v>23.75</v>
      </c>
    </row>
    <row r="14" spans="1:42" ht="18.75" customHeight="1" x14ac:dyDescent="0.35">
      <c r="A14" s="205" t="s">
        <v>12</v>
      </c>
      <c r="B14" s="206" t="s">
        <v>226</v>
      </c>
      <c r="C14" s="6"/>
      <c r="D14" s="31"/>
      <c r="E14" s="31"/>
      <c r="F14" s="31"/>
      <c r="G14" s="250"/>
      <c r="H14" s="30"/>
      <c r="I14" s="15" t="s">
        <v>49</v>
      </c>
      <c r="J14" s="15" t="s">
        <v>49</v>
      </c>
      <c r="K14" s="15" t="s">
        <v>49</v>
      </c>
      <c r="L14" s="16" t="s">
        <v>49</v>
      </c>
      <c r="M14" s="15" t="s">
        <v>49</v>
      </c>
      <c r="N14" s="15" t="s">
        <v>49</v>
      </c>
      <c r="O14" s="15" t="s">
        <v>49</v>
      </c>
      <c r="P14" s="15" t="s">
        <v>49</v>
      </c>
      <c r="Q14" s="15" t="s">
        <v>49</v>
      </c>
      <c r="R14" s="6"/>
      <c r="S14" s="2"/>
      <c r="T14" s="2"/>
      <c r="U14" s="2"/>
      <c r="V14" s="7"/>
      <c r="W14" s="6"/>
      <c r="X14" s="2"/>
      <c r="Y14" s="2"/>
      <c r="Z14" s="2"/>
      <c r="AA14" s="7"/>
      <c r="AB14" s="287">
        <v>1.5</v>
      </c>
      <c r="AD14" s="314" t="s">
        <v>67</v>
      </c>
      <c r="AE14" s="328">
        <f>AE13/33</f>
        <v>5.3636363636363633</v>
      </c>
      <c r="AF14" s="301"/>
      <c r="AG14" s="301"/>
      <c r="AH14" s="329">
        <f t="shared" ref="AH14:AO14" si="5">AH13/AH3</f>
        <v>5.1875</v>
      </c>
      <c r="AI14" s="329">
        <f t="shared" si="5"/>
        <v>1.9841269841269842</v>
      </c>
      <c r="AJ14" s="329">
        <f t="shared" si="5"/>
        <v>9.3333333333333339</v>
      </c>
      <c r="AK14" s="329">
        <f t="shared" si="5"/>
        <v>6.3125</v>
      </c>
      <c r="AL14" s="329">
        <f t="shared" si="5"/>
        <v>5.6875</v>
      </c>
      <c r="AM14" s="329">
        <f t="shared" si="5"/>
        <v>22.5</v>
      </c>
      <c r="AN14" s="329">
        <f t="shared" si="5"/>
        <v>-7.125</v>
      </c>
      <c r="AO14" s="329">
        <f t="shared" si="5"/>
        <v>23.75</v>
      </c>
    </row>
    <row r="15" spans="1:42" ht="18.75" customHeight="1" thickBot="1" x14ac:dyDescent="0.4">
      <c r="A15" s="205" t="s">
        <v>12</v>
      </c>
      <c r="B15" s="206" t="s">
        <v>239</v>
      </c>
      <c r="C15" s="332"/>
      <c r="D15" s="282"/>
      <c r="E15" s="282"/>
      <c r="F15" s="282"/>
      <c r="G15" s="284"/>
      <c r="H15" s="283"/>
      <c r="I15" s="282"/>
      <c r="J15" s="282"/>
      <c r="K15" s="282"/>
      <c r="L15" s="284"/>
      <c r="M15" s="6"/>
      <c r="N15" s="282"/>
      <c r="O15" s="282"/>
      <c r="P15" s="282"/>
      <c r="Q15" s="7"/>
      <c r="R15" s="14" t="s">
        <v>49</v>
      </c>
      <c r="S15" s="2"/>
      <c r="T15" s="2"/>
      <c r="U15" s="2"/>
      <c r="V15" s="7"/>
      <c r="W15" s="6"/>
      <c r="X15" s="25"/>
      <c r="Y15" s="2"/>
      <c r="Z15" s="2"/>
      <c r="AA15" s="7"/>
      <c r="AB15" s="287">
        <v>1</v>
      </c>
      <c r="AD15" s="314" t="s">
        <v>252</v>
      </c>
      <c r="AE15" s="327">
        <f>AE14/2</f>
        <v>2.6818181818181817</v>
      </c>
      <c r="AF15" s="301"/>
      <c r="AG15" s="301"/>
      <c r="AH15" s="302">
        <f>AH14/2</f>
        <v>2.59375</v>
      </c>
      <c r="AI15" s="302">
        <f>AI14/2</f>
        <v>0.99206349206349209</v>
      </c>
      <c r="AJ15" s="302">
        <f>AJ14/2</f>
        <v>4.666666666666667</v>
      </c>
      <c r="AK15" s="302">
        <f>AK14/2</f>
        <v>3.15625</v>
      </c>
      <c r="AL15" s="302">
        <f>AL14/2</f>
        <v>2.84375</v>
      </c>
      <c r="AM15" s="303"/>
      <c r="AN15" s="303">
        <f>AN14/2</f>
        <v>-3.5625</v>
      </c>
      <c r="AO15" s="302"/>
    </row>
    <row r="16" spans="1:42" x14ac:dyDescent="0.35">
      <c r="A16" s="205" t="s">
        <v>12</v>
      </c>
      <c r="B16" s="206" t="s">
        <v>227</v>
      </c>
      <c r="C16" s="6"/>
      <c r="D16" s="2"/>
      <c r="E16" s="2"/>
      <c r="F16" s="2"/>
      <c r="G16" s="7"/>
      <c r="H16" s="6"/>
      <c r="I16" s="2"/>
      <c r="J16" s="2"/>
      <c r="K16" s="2"/>
      <c r="L16" s="7"/>
      <c r="M16" s="6"/>
      <c r="N16" s="2"/>
      <c r="O16" s="2"/>
      <c r="P16" s="2"/>
      <c r="Q16" s="7"/>
      <c r="S16" s="15" t="s">
        <v>49</v>
      </c>
      <c r="T16" s="15" t="s">
        <v>49</v>
      </c>
      <c r="U16" s="15" t="s">
        <v>49</v>
      </c>
      <c r="V16" s="16" t="s">
        <v>49</v>
      </c>
      <c r="W16" s="283"/>
      <c r="X16" s="99" t="s">
        <v>49</v>
      </c>
      <c r="Y16" s="15" t="s">
        <v>49</v>
      </c>
      <c r="Z16" s="15" t="s">
        <v>49</v>
      </c>
      <c r="AA16" s="16" t="s">
        <v>49</v>
      </c>
      <c r="AB16" s="287">
        <v>1.5</v>
      </c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</row>
    <row r="17" spans="1:43" ht="15.5" x14ac:dyDescent="0.35">
      <c r="A17" s="205" t="s">
        <v>12</v>
      </c>
      <c r="B17" s="206" t="s">
        <v>228</v>
      </c>
      <c r="C17" s="8" t="s">
        <v>48</v>
      </c>
      <c r="D17" s="4" t="s">
        <v>48</v>
      </c>
      <c r="E17" s="27" t="s">
        <v>33</v>
      </c>
      <c r="F17" s="4" t="s">
        <v>48</v>
      </c>
      <c r="G17" s="9" t="s">
        <v>48</v>
      </c>
      <c r="H17" s="14" t="s">
        <v>49</v>
      </c>
      <c r="I17" s="68" t="s">
        <v>53</v>
      </c>
      <c r="J17" s="68" t="s">
        <v>53</v>
      </c>
      <c r="K17" s="68" t="s">
        <v>53</v>
      </c>
      <c r="L17" s="69" t="s">
        <v>53</v>
      </c>
      <c r="M17" s="8" t="s">
        <v>48</v>
      </c>
      <c r="N17" s="4" t="s">
        <v>48</v>
      </c>
      <c r="O17" s="4" t="s">
        <v>48</v>
      </c>
      <c r="P17" s="4" t="s">
        <v>48</v>
      </c>
      <c r="Q17" s="9" t="s">
        <v>48</v>
      </c>
      <c r="R17" s="20" t="s">
        <v>51</v>
      </c>
      <c r="S17" s="335" t="s">
        <v>216</v>
      </c>
      <c r="T17" s="334" t="s">
        <v>50</v>
      </c>
      <c r="U17" s="335" t="s">
        <v>216</v>
      </c>
      <c r="V17" s="20" t="s">
        <v>51</v>
      </c>
      <c r="W17" s="336" t="s">
        <v>216</v>
      </c>
      <c r="X17" s="337" t="s">
        <v>31</v>
      </c>
      <c r="Y17" s="338" t="s">
        <v>51</v>
      </c>
      <c r="Z17" s="335" t="s">
        <v>216</v>
      </c>
      <c r="AA17" s="339" t="s">
        <v>48</v>
      </c>
      <c r="AB17" s="287">
        <v>1.25</v>
      </c>
      <c r="AD17" s="293"/>
      <c r="AE17" s="292"/>
      <c r="AF17" s="292"/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</row>
    <row r="18" spans="1:43" ht="15.5" x14ac:dyDescent="0.35">
      <c r="A18" s="205" t="s">
        <v>12</v>
      </c>
      <c r="B18" s="206" t="s">
        <v>229</v>
      </c>
      <c r="D18" s="282"/>
      <c r="E18" s="282"/>
      <c r="F18" s="282"/>
      <c r="G18" s="284"/>
      <c r="H18" s="28" t="s">
        <v>33</v>
      </c>
      <c r="I18" s="2"/>
      <c r="J18" s="27" t="s">
        <v>33</v>
      </c>
      <c r="K18" s="2"/>
      <c r="L18" s="7"/>
      <c r="M18" s="6"/>
      <c r="N18" s="2"/>
      <c r="O18" s="2"/>
      <c r="P18" s="2"/>
      <c r="Q18" s="7"/>
      <c r="R18" s="6"/>
      <c r="S18" s="340"/>
      <c r="T18" s="340"/>
      <c r="U18" s="340"/>
      <c r="V18" s="341"/>
      <c r="W18" s="342"/>
      <c r="X18" s="343"/>
      <c r="Y18" s="340"/>
      <c r="Z18" s="340"/>
      <c r="AA18" s="341"/>
      <c r="AB18" s="287">
        <v>1.5</v>
      </c>
      <c r="AD18" s="293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</row>
    <row r="19" spans="1:43" x14ac:dyDescent="0.35">
      <c r="A19" s="205" t="s">
        <v>12</v>
      </c>
      <c r="B19" s="206" t="s">
        <v>230</v>
      </c>
      <c r="C19" s="6"/>
      <c r="D19" s="4" t="s">
        <v>48</v>
      </c>
      <c r="E19" s="2"/>
      <c r="F19" s="4" t="s">
        <v>48</v>
      </c>
      <c r="G19" s="7"/>
      <c r="H19" s="8" t="s">
        <v>48</v>
      </c>
      <c r="I19" s="4" t="s">
        <v>48</v>
      </c>
      <c r="J19" s="4" t="s">
        <v>48</v>
      </c>
      <c r="K19" s="4" t="s">
        <v>48</v>
      </c>
      <c r="L19" s="9" t="s">
        <v>48</v>
      </c>
      <c r="M19" s="6"/>
      <c r="N19" s="2"/>
      <c r="O19" s="2"/>
      <c r="Q19" s="7"/>
      <c r="R19" s="8" t="s">
        <v>48</v>
      </c>
      <c r="S19" s="20" t="s">
        <v>51</v>
      </c>
      <c r="T19" s="20" t="s">
        <v>51</v>
      </c>
      <c r="U19" s="20" t="s">
        <v>51</v>
      </c>
      <c r="V19" s="344" t="s">
        <v>48</v>
      </c>
      <c r="W19" s="6"/>
      <c r="X19" s="2"/>
      <c r="Y19" s="2"/>
      <c r="Z19" s="2"/>
      <c r="AA19" s="7"/>
      <c r="AB19" s="287">
        <v>1.5</v>
      </c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</row>
    <row r="20" spans="1:43" x14ac:dyDescent="0.35">
      <c r="A20" s="205" t="s">
        <v>12</v>
      </c>
      <c r="B20" s="206" t="s">
        <v>223</v>
      </c>
      <c r="C20" s="19" t="s">
        <v>51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23" t="s">
        <v>50</v>
      </c>
      <c r="N20" s="2"/>
      <c r="O20" s="23" t="s">
        <v>50</v>
      </c>
      <c r="P20" s="2"/>
      <c r="Q20" s="23" t="s">
        <v>50</v>
      </c>
      <c r="R20" s="6"/>
      <c r="S20" s="2"/>
      <c r="T20" s="2"/>
      <c r="U20" s="2"/>
      <c r="V20" s="7"/>
      <c r="W20" s="6"/>
      <c r="X20" s="2"/>
      <c r="Y20" s="97"/>
      <c r="Z20" s="97"/>
      <c r="AA20" s="253"/>
      <c r="AB20" s="287">
        <v>1.5</v>
      </c>
    </row>
    <row r="21" spans="1:43" x14ac:dyDescent="0.35">
      <c r="A21" s="205" t="s">
        <v>12</v>
      </c>
      <c r="B21" s="206" t="s">
        <v>224</v>
      </c>
      <c r="C21" s="30"/>
      <c r="D21" s="31"/>
      <c r="E21" s="31"/>
      <c r="F21" s="31"/>
      <c r="G21" s="250"/>
      <c r="H21" s="6"/>
      <c r="I21" s="2"/>
      <c r="J21" s="2"/>
      <c r="K21" s="2"/>
      <c r="L21" s="7"/>
      <c r="M21" s="6"/>
      <c r="N21" s="2"/>
      <c r="O21" s="2"/>
      <c r="P21" s="2"/>
      <c r="Q21" s="7"/>
      <c r="R21" s="6"/>
      <c r="S21" s="2"/>
      <c r="T21" s="2"/>
      <c r="U21" s="2"/>
      <c r="V21" s="7"/>
      <c r="W21" s="6"/>
      <c r="X21" s="2"/>
      <c r="Y21" s="2"/>
      <c r="Z21" s="2"/>
      <c r="AA21" s="7"/>
      <c r="AB21" s="287">
        <v>1.5</v>
      </c>
      <c r="AD21" t="s">
        <v>241</v>
      </c>
    </row>
    <row r="22" spans="1:43" x14ac:dyDescent="0.35">
      <c r="A22" s="205" t="s">
        <v>12</v>
      </c>
      <c r="B22" s="206" t="s">
        <v>37</v>
      </c>
      <c r="C22" s="8" t="s">
        <v>48</v>
      </c>
      <c r="D22" s="2"/>
      <c r="E22" s="4" t="s">
        <v>48</v>
      </c>
      <c r="F22" s="2"/>
      <c r="G22" s="7"/>
      <c r="H22" s="6"/>
      <c r="I22" s="2"/>
      <c r="J22" s="2"/>
      <c r="K22" s="2"/>
      <c r="L22" s="7"/>
      <c r="M22" s="6"/>
      <c r="N22" s="2"/>
      <c r="O22" s="2"/>
      <c r="P22" s="2"/>
      <c r="Q22" s="7"/>
      <c r="R22" s="6"/>
      <c r="S22" s="2"/>
      <c r="T22" s="2"/>
      <c r="U22" s="2"/>
      <c r="V22" s="7"/>
      <c r="W22" s="6"/>
      <c r="X22" s="2"/>
      <c r="Y22" s="2"/>
      <c r="Z22" s="2"/>
      <c r="AA22" s="7"/>
      <c r="AB22" s="287">
        <v>0.5</v>
      </c>
      <c r="AD22" t="s">
        <v>242</v>
      </c>
    </row>
    <row r="23" spans="1:43" x14ac:dyDescent="0.35">
      <c r="A23" s="205" t="s">
        <v>12</v>
      </c>
      <c r="B23" s="206" t="s">
        <v>35</v>
      </c>
      <c r="C23" s="6"/>
      <c r="D23" s="23" t="s">
        <v>50</v>
      </c>
      <c r="E23" s="2"/>
      <c r="F23" s="97"/>
      <c r="G23" s="7"/>
      <c r="H23" s="22" t="s">
        <v>50</v>
      </c>
      <c r="I23" s="23" t="s">
        <v>50</v>
      </c>
      <c r="J23" s="23" t="s">
        <v>50</v>
      </c>
      <c r="K23" s="26" t="s">
        <v>50</v>
      </c>
      <c r="L23" s="252" t="s">
        <v>50</v>
      </c>
      <c r="M23" s="22" t="s">
        <v>50</v>
      </c>
      <c r="N23" s="23" t="s">
        <v>50</v>
      </c>
      <c r="O23" s="23" t="s">
        <v>50</v>
      </c>
      <c r="P23" s="26" t="s">
        <v>50</v>
      </c>
      <c r="Q23" s="252" t="s">
        <v>50</v>
      </c>
      <c r="R23" s="22" t="s">
        <v>50</v>
      </c>
      <c r="S23" s="23" t="s">
        <v>50</v>
      </c>
      <c r="T23" s="23" t="s">
        <v>50</v>
      </c>
      <c r="U23" s="26" t="s">
        <v>50</v>
      </c>
      <c r="V23" s="35" t="s">
        <v>50</v>
      </c>
      <c r="W23" s="6"/>
      <c r="X23" s="2"/>
      <c r="Y23" s="2"/>
      <c r="Z23" s="2"/>
      <c r="AA23" s="7"/>
      <c r="AB23" s="287">
        <v>0.75</v>
      </c>
      <c r="AD23" t="s">
        <v>243</v>
      </c>
    </row>
    <row r="24" spans="1:43" x14ac:dyDescent="0.35">
      <c r="A24" s="19" t="s">
        <v>27</v>
      </c>
      <c r="B24" s="206" t="s">
        <v>231</v>
      </c>
      <c r="C24" s="6"/>
      <c r="D24" s="2"/>
      <c r="E24" s="2"/>
      <c r="F24" s="2"/>
      <c r="G24" s="7"/>
      <c r="H24" s="36" t="s">
        <v>51</v>
      </c>
      <c r="I24" s="40"/>
      <c r="J24" s="42" t="s">
        <v>51</v>
      </c>
      <c r="K24" s="42" t="s">
        <v>51</v>
      </c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2"/>
      <c r="X24" s="41"/>
      <c r="Y24" s="41"/>
      <c r="Z24" s="2"/>
      <c r="AA24" s="7"/>
      <c r="AB24" s="287">
        <v>0.5</v>
      </c>
      <c r="AD24" t="s">
        <v>244</v>
      </c>
    </row>
    <row r="25" spans="1:43" x14ac:dyDescent="0.35">
      <c r="A25" s="19" t="s">
        <v>12</v>
      </c>
      <c r="B25" s="206" t="s">
        <v>231</v>
      </c>
      <c r="C25" s="19" t="s">
        <v>51</v>
      </c>
      <c r="D25" s="2"/>
      <c r="E25" s="42" t="s">
        <v>51</v>
      </c>
      <c r="F25" s="2"/>
      <c r="G25" s="7"/>
      <c r="H25" s="37"/>
      <c r="I25" s="38"/>
      <c r="J25" s="97"/>
      <c r="K25" s="38"/>
      <c r="L25" s="39"/>
      <c r="M25" s="36" t="s">
        <v>51</v>
      </c>
      <c r="N25" s="38"/>
      <c r="O25" s="38"/>
      <c r="P25" s="38"/>
      <c r="Q25" s="39"/>
      <c r="R25" s="37"/>
      <c r="S25" s="38"/>
      <c r="T25" s="42" t="s">
        <v>51</v>
      </c>
      <c r="U25" s="38"/>
      <c r="V25" s="39"/>
      <c r="W25" s="32"/>
      <c r="X25" s="41"/>
      <c r="Y25" s="41"/>
      <c r="Z25" s="2"/>
      <c r="AA25" s="7"/>
      <c r="AB25" s="287">
        <v>0.5</v>
      </c>
      <c r="AD25" t="s">
        <v>245</v>
      </c>
    </row>
    <row r="26" spans="1:43" ht="29.25" customHeight="1" x14ac:dyDescent="0.35">
      <c r="A26" s="67" t="s">
        <v>11</v>
      </c>
      <c r="B26" s="206" t="s">
        <v>6</v>
      </c>
      <c r="C26" s="6"/>
      <c r="D26" s="2"/>
      <c r="E26" s="2"/>
      <c r="F26" s="2"/>
      <c r="G26" s="7"/>
      <c r="H26" s="70" t="s">
        <v>53</v>
      </c>
      <c r="I26" s="74"/>
      <c r="J26" s="74"/>
      <c r="K26" s="74"/>
      <c r="L26" s="75"/>
      <c r="M26" s="37"/>
      <c r="N26" s="38"/>
      <c r="O26" s="38"/>
      <c r="P26" s="38"/>
      <c r="Q26" s="39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  <c r="AB26" s="287">
        <v>0.75</v>
      </c>
      <c r="AD26" t="s">
        <v>246</v>
      </c>
    </row>
    <row r="27" spans="1:43" x14ac:dyDescent="0.35">
      <c r="A27" s="67" t="s">
        <v>12</v>
      </c>
      <c r="B27" s="206" t="s">
        <v>6</v>
      </c>
      <c r="C27" s="6"/>
      <c r="D27" s="2"/>
      <c r="E27" s="2"/>
      <c r="F27" s="2"/>
      <c r="G27" s="7"/>
      <c r="H27" s="37"/>
      <c r="I27" s="38"/>
      <c r="J27" s="38"/>
      <c r="K27" s="38"/>
      <c r="L27" s="39"/>
      <c r="M27" s="37"/>
      <c r="N27" s="38"/>
      <c r="O27" s="38"/>
      <c r="P27" s="38"/>
      <c r="Q27" s="39"/>
      <c r="R27" s="70" t="s">
        <v>53</v>
      </c>
      <c r="S27" s="71" t="s">
        <v>53</v>
      </c>
      <c r="T27" s="71" t="s">
        <v>53</v>
      </c>
      <c r="U27" s="71" t="s">
        <v>53</v>
      </c>
      <c r="V27" s="39"/>
      <c r="W27" s="32"/>
      <c r="X27" s="41"/>
      <c r="Y27" s="41"/>
      <c r="Z27" s="2"/>
      <c r="AA27" s="7"/>
      <c r="AB27" s="287">
        <v>0.75</v>
      </c>
      <c r="AD27" t="s">
        <v>247</v>
      </c>
    </row>
    <row r="28" spans="1:43" x14ac:dyDescent="0.35">
      <c r="A28" s="67" t="s">
        <v>12</v>
      </c>
      <c r="B28" s="206" t="s">
        <v>232</v>
      </c>
      <c r="C28" s="67" t="s">
        <v>53</v>
      </c>
      <c r="D28" s="68" t="s">
        <v>53</v>
      </c>
      <c r="E28" s="68" t="s">
        <v>53</v>
      </c>
      <c r="F28" s="68" t="s">
        <v>53</v>
      </c>
      <c r="G28" s="69" t="s">
        <v>53</v>
      </c>
      <c r="H28" s="37"/>
      <c r="I28" s="38"/>
      <c r="J28" s="38"/>
      <c r="K28" s="38"/>
      <c r="L28" s="39"/>
      <c r="M28" s="70" t="s">
        <v>53</v>
      </c>
      <c r="N28" s="71" t="s">
        <v>53</v>
      </c>
      <c r="O28" s="71" t="s">
        <v>53</v>
      </c>
      <c r="P28" s="71" t="s">
        <v>53</v>
      </c>
      <c r="Q28" s="72" t="s">
        <v>53</v>
      </c>
      <c r="R28" s="37"/>
      <c r="S28" s="38"/>
      <c r="T28" s="38"/>
      <c r="U28" s="38"/>
      <c r="V28" s="39"/>
      <c r="W28" s="32"/>
      <c r="X28" s="41"/>
      <c r="Y28" s="41"/>
      <c r="Z28" s="2"/>
      <c r="AA28" s="7"/>
      <c r="AB28" s="287">
        <v>1</v>
      </c>
      <c r="AD28" t="s">
        <v>248</v>
      </c>
    </row>
    <row r="29" spans="1:43" x14ac:dyDescent="0.35">
      <c r="A29" s="67" t="s">
        <v>29</v>
      </c>
      <c r="B29" s="206" t="s">
        <v>233</v>
      </c>
      <c r="C29" s="6"/>
      <c r="D29" s="2"/>
      <c r="E29" s="2"/>
      <c r="F29" s="2"/>
      <c r="G29" s="7"/>
      <c r="H29" s="37"/>
      <c r="I29" s="38"/>
      <c r="J29" s="38"/>
      <c r="K29" s="38"/>
      <c r="L29" s="39"/>
      <c r="M29" s="37"/>
      <c r="N29" s="38"/>
      <c r="O29" s="38"/>
      <c r="P29" s="38"/>
      <c r="Q29" s="39"/>
      <c r="R29" s="70" t="s">
        <v>53</v>
      </c>
      <c r="S29" s="71" t="s">
        <v>53</v>
      </c>
      <c r="T29" s="71" t="s">
        <v>53</v>
      </c>
      <c r="U29" s="71" t="s">
        <v>53</v>
      </c>
      <c r="V29" s="72" t="s">
        <v>53</v>
      </c>
      <c r="W29" s="32"/>
      <c r="X29" s="41"/>
      <c r="Y29" s="41"/>
      <c r="Z29" s="2"/>
      <c r="AA29" s="7"/>
      <c r="AB29" s="287">
        <v>1</v>
      </c>
    </row>
    <row r="30" spans="1:43" x14ac:dyDescent="0.35">
      <c r="A30" s="67" t="s">
        <v>14</v>
      </c>
      <c r="B30" s="206" t="s">
        <v>234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7"/>
      <c r="R30" s="6"/>
      <c r="S30" s="2"/>
      <c r="T30" s="2"/>
      <c r="U30" s="2"/>
      <c r="V30" s="7"/>
      <c r="W30" s="32"/>
      <c r="X30" s="76" t="s">
        <v>53</v>
      </c>
      <c r="Y30" s="76" t="s">
        <v>38</v>
      </c>
      <c r="Z30" s="41"/>
      <c r="AA30" s="44"/>
      <c r="AB30" s="288">
        <v>0.5</v>
      </c>
      <c r="AQ30" s="292"/>
    </row>
    <row r="31" spans="1:43" x14ac:dyDescent="0.35">
      <c r="A31" s="14" t="s">
        <v>11</v>
      </c>
      <c r="B31" s="206" t="s">
        <v>235</v>
      </c>
      <c r="C31" s="6"/>
      <c r="D31" s="2"/>
      <c r="E31" s="2"/>
      <c r="F31" s="2"/>
      <c r="G31" s="7"/>
      <c r="H31" s="6"/>
      <c r="I31" s="2"/>
      <c r="J31" s="2"/>
      <c r="K31" s="2"/>
      <c r="L31" s="7"/>
      <c r="M31" s="6"/>
      <c r="N31" s="2"/>
      <c r="O31" s="2"/>
      <c r="P31" s="2"/>
      <c r="Q31" s="7"/>
      <c r="R31" s="6"/>
      <c r="S31" s="2"/>
      <c r="T31" s="2"/>
      <c r="U31" s="2"/>
      <c r="V31" s="7"/>
      <c r="W31" s="6"/>
      <c r="X31" s="15" t="s">
        <v>49</v>
      </c>
      <c r="Y31" s="2"/>
      <c r="Z31" s="15" t="s">
        <v>49</v>
      </c>
      <c r="AA31" s="7"/>
      <c r="AB31" s="287">
        <v>0.5</v>
      </c>
      <c r="AQ31" s="292"/>
    </row>
    <row r="32" spans="1:43" x14ac:dyDescent="0.35">
      <c r="A32" s="14" t="s">
        <v>11</v>
      </c>
      <c r="B32" s="206" t="s">
        <v>8</v>
      </c>
      <c r="C32" s="6"/>
      <c r="D32" s="2"/>
      <c r="E32" s="2"/>
      <c r="F32" s="2"/>
      <c r="G32" s="7"/>
      <c r="H32" s="14" t="s">
        <v>49</v>
      </c>
      <c r="I32" s="15" t="s">
        <v>49</v>
      </c>
      <c r="J32" s="15" t="s">
        <v>49</v>
      </c>
      <c r="K32" s="15" t="s">
        <v>49</v>
      </c>
      <c r="L32" s="16" t="s">
        <v>49</v>
      </c>
      <c r="M32" s="14" t="s">
        <v>49</v>
      </c>
      <c r="N32" s="15" t="s">
        <v>49</v>
      </c>
      <c r="O32" s="15" t="s">
        <v>49</v>
      </c>
      <c r="P32" s="15" t="s">
        <v>49</v>
      </c>
      <c r="Q32" s="16" t="s">
        <v>49</v>
      </c>
      <c r="R32" s="14" t="s">
        <v>49</v>
      </c>
      <c r="S32" s="15" t="s">
        <v>49</v>
      </c>
      <c r="T32" s="15" t="s">
        <v>49</v>
      </c>
      <c r="U32" s="15" t="s">
        <v>49</v>
      </c>
      <c r="V32" s="16" t="s">
        <v>49</v>
      </c>
      <c r="W32" s="6"/>
      <c r="X32" s="2"/>
      <c r="Y32" s="2"/>
      <c r="Z32" s="2"/>
      <c r="AA32" s="7"/>
      <c r="AB32" s="287">
        <v>0.75</v>
      </c>
      <c r="AQ32" s="292"/>
    </row>
    <row r="33" spans="1:43" ht="15" thickBot="1" x14ac:dyDescent="0.4">
      <c r="A33" s="256" t="s">
        <v>12</v>
      </c>
      <c r="B33" s="257" t="s">
        <v>8</v>
      </c>
      <c r="C33" s="10"/>
      <c r="D33" s="11"/>
      <c r="E33" s="11"/>
      <c r="F33" s="11"/>
      <c r="G33" s="12"/>
      <c r="H33" s="256" t="s">
        <v>49</v>
      </c>
      <c r="I33" s="11"/>
      <c r="J33" s="11"/>
      <c r="K33" s="11"/>
      <c r="L33" s="12"/>
      <c r="M33" s="10"/>
      <c r="N33" s="11"/>
      <c r="O33" s="11"/>
      <c r="P33" s="11"/>
      <c r="Q33" s="12"/>
      <c r="R33" s="10"/>
      <c r="S33" s="11"/>
      <c r="T33" s="254" t="s">
        <v>49</v>
      </c>
      <c r="U33" s="255"/>
      <c r="V33" s="12"/>
      <c r="W33" s="10"/>
      <c r="X33" s="11"/>
      <c r="Y33" s="11"/>
      <c r="Z33" s="11"/>
      <c r="AA33" s="12"/>
      <c r="AB33" s="287">
        <v>0.75</v>
      </c>
      <c r="AQ33" s="292"/>
    </row>
  </sheetData>
  <conditionalFormatting sqref="AH10:AO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zoomScale="86" workbookViewId="0">
      <selection activeCell="E15" sqref="E15"/>
    </sheetView>
  </sheetViews>
  <sheetFormatPr baseColWidth="10" defaultRowHeight="14.5" x14ac:dyDescent="0.35"/>
  <cols>
    <col min="1" max="1" width="14.26953125" customWidth="1"/>
    <col min="2" max="2" width="16" customWidth="1"/>
    <col min="3" max="3" width="8.7265625" customWidth="1"/>
    <col min="4" max="4" width="7.453125" customWidth="1"/>
    <col min="5" max="5" width="14.7265625" customWidth="1"/>
    <col min="6" max="6" width="22.26953125" customWidth="1"/>
    <col min="7" max="7" width="19.26953125" customWidth="1"/>
    <col min="8" max="8" width="10.7265625" customWidth="1"/>
    <col min="9" max="9" width="8.7265625" customWidth="1"/>
    <col min="10" max="11" width="9.7265625" customWidth="1"/>
  </cols>
  <sheetData>
    <row r="1" spans="1:11" x14ac:dyDescent="0.35">
      <c r="D1" t="s">
        <v>85</v>
      </c>
      <c r="G1" t="s">
        <v>201</v>
      </c>
      <c r="H1" t="s">
        <v>197</v>
      </c>
      <c r="I1" t="s">
        <v>198</v>
      </c>
      <c r="J1" t="s">
        <v>199</v>
      </c>
      <c r="K1" t="s">
        <v>200</v>
      </c>
    </row>
    <row r="2" spans="1:11" x14ac:dyDescent="0.35">
      <c r="A2" s="230" t="s">
        <v>103</v>
      </c>
      <c r="B2" s="230" t="s">
        <v>104</v>
      </c>
      <c r="D2">
        <v>1</v>
      </c>
      <c r="H2" s="247">
        <v>1</v>
      </c>
      <c r="I2" s="247">
        <v>1</v>
      </c>
      <c r="J2" s="247">
        <v>1</v>
      </c>
      <c r="K2" s="247">
        <v>1</v>
      </c>
    </row>
    <row r="3" spans="1:11" ht="9.75" customHeight="1" x14ac:dyDescent="0.35">
      <c r="A3" s="230"/>
      <c r="B3" s="230"/>
    </row>
    <row r="4" spans="1:11" x14ac:dyDescent="0.35">
      <c r="A4" s="226" t="s">
        <v>109</v>
      </c>
      <c r="B4" s="226" t="s">
        <v>110</v>
      </c>
      <c r="C4" t="s">
        <v>99</v>
      </c>
      <c r="D4">
        <v>1</v>
      </c>
      <c r="H4" s="51">
        <v>1</v>
      </c>
      <c r="I4" s="51">
        <v>1</v>
      </c>
      <c r="J4" s="51">
        <v>1</v>
      </c>
      <c r="K4" s="51">
        <v>1</v>
      </c>
    </row>
    <row r="5" spans="1:11" x14ac:dyDescent="0.35">
      <c r="A5" s="216" t="s">
        <v>121</v>
      </c>
      <c r="B5" s="216" t="s">
        <v>122</v>
      </c>
      <c r="C5">
        <v>1</v>
      </c>
      <c r="D5">
        <f>SUM(C5:C12)</f>
        <v>8</v>
      </c>
      <c r="H5">
        <v>1</v>
      </c>
      <c r="I5">
        <v>1</v>
      </c>
      <c r="J5">
        <v>1</v>
      </c>
      <c r="K5">
        <v>1</v>
      </c>
    </row>
    <row r="6" spans="1:11" x14ac:dyDescent="0.35">
      <c r="A6" s="217" t="s">
        <v>127</v>
      </c>
      <c r="B6" s="217" t="s">
        <v>128</v>
      </c>
      <c r="C6">
        <v>1</v>
      </c>
      <c r="H6">
        <v>1</v>
      </c>
      <c r="I6">
        <v>1</v>
      </c>
      <c r="J6">
        <v>1</v>
      </c>
      <c r="K6">
        <v>1</v>
      </c>
    </row>
    <row r="7" spans="1:11" x14ac:dyDescent="0.35">
      <c r="A7" s="217" t="s">
        <v>135</v>
      </c>
      <c r="B7" s="217" t="s">
        <v>136</v>
      </c>
      <c r="C7">
        <v>1</v>
      </c>
      <c r="H7">
        <v>1</v>
      </c>
      <c r="I7">
        <v>1</v>
      </c>
      <c r="J7">
        <v>1</v>
      </c>
      <c r="K7">
        <v>1</v>
      </c>
    </row>
    <row r="8" spans="1:11" x14ac:dyDescent="0.35">
      <c r="A8" s="216" t="s">
        <v>141</v>
      </c>
      <c r="B8" s="216" t="s">
        <v>142</v>
      </c>
      <c r="C8">
        <v>1</v>
      </c>
      <c r="H8">
        <v>1</v>
      </c>
      <c r="I8">
        <v>1</v>
      </c>
      <c r="J8">
        <v>1</v>
      </c>
      <c r="K8">
        <v>1</v>
      </c>
    </row>
    <row r="9" spans="1:11" x14ac:dyDescent="0.35">
      <c r="A9" s="217" t="s">
        <v>151</v>
      </c>
      <c r="B9" s="217" t="s">
        <v>152</v>
      </c>
      <c r="C9">
        <v>1</v>
      </c>
      <c r="H9">
        <v>1</v>
      </c>
      <c r="I9">
        <v>1</v>
      </c>
      <c r="J9">
        <v>1</v>
      </c>
      <c r="K9">
        <v>1</v>
      </c>
    </row>
    <row r="10" spans="1:11" x14ac:dyDescent="0.35">
      <c r="A10" s="224" t="s">
        <v>153</v>
      </c>
      <c r="B10" s="224" t="s">
        <v>154</v>
      </c>
      <c r="C10">
        <v>1</v>
      </c>
      <c r="E10" t="s">
        <v>189</v>
      </c>
      <c r="F10" t="s">
        <v>190</v>
      </c>
      <c r="H10">
        <v>1</v>
      </c>
      <c r="I10">
        <v>1</v>
      </c>
      <c r="J10">
        <v>1</v>
      </c>
      <c r="K10">
        <v>1</v>
      </c>
    </row>
    <row r="11" spans="1:11" x14ac:dyDescent="0.35">
      <c r="A11" s="217" t="s">
        <v>161</v>
      </c>
      <c r="B11" s="217" t="s">
        <v>162</v>
      </c>
      <c r="C11">
        <v>1</v>
      </c>
      <c r="H11">
        <v>1</v>
      </c>
      <c r="I11">
        <v>1</v>
      </c>
      <c r="J11">
        <v>1</v>
      </c>
      <c r="K11">
        <v>1</v>
      </c>
    </row>
    <row r="12" spans="1:11" x14ac:dyDescent="0.35">
      <c r="A12" s="216" t="s">
        <v>170</v>
      </c>
      <c r="B12" s="216" t="s">
        <v>171</v>
      </c>
      <c r="C12">
        <v>1</v>
      </c>
      <c r="H12">
        <v>1</v>
      </c>
      <c r="I12">
        <v>1</v>
      </c>
      <c r="J12">
        <v>1</v>
      </c>
      <c r="K12">
        <v>1</v>
      </c>
    </row>
    <row r="13" spans="1:11" ht="17.25" customHeight="1" x14ac:dyDescent="0.35">
      <c r="A13" s="232" t="s">
        <v>207</v>
      </c>
      <c r="B13" s="232"/>
      <c r="H13" s="247">
        <f>SUM(H5:H12)</f>
        <v>8</v>
      </c>
      <c r="I13" s="247">
        <f t="shared" ref="I13:K13" si="0">SUM(I5:I12)</f>
        <v>8</v>
      </c>
      <c r="J13" s="247">
        <f t="shared" si="0"/>
        <v>8</v>
      </c>
      <c r="K13" s="247">
        <f t="shared" si="0"/>
        <v>8</v>
      </c>
    </row>
    <row r="14" spans="1:11" x14ac:dyDescent="0.35">
      <c r="A14" s="225" t="s">
        <v>105</v>
      </c>
      <c r="B14" s="225" t="s">
        <v>106</v>
      </c>
      <c r="C14" t="s">
        <v>44</v>
      </c>
      <c r="D14">
        <v>1</v>
      </c>
      <c r="H14">
        <v>1</v>
      </c>
      <c r="I14">
        <v>1</v>
      </c>
      <c r="J14">
        <v>1</v>
      </c>
      <c r="K14">
        <v>1</v>
      </c>
    </row>
    <row r="15" spans="1:11" x14ac:dyDescent="0.35">
      <c r="A15" s="215" t="s">
        <v>119</v>
      </c>
      <c r="B15" s="215" t="s">
        <v>120</v>
      </c>
      <c r="C15">
        <v>1</v>
      </c>
      <c r="D15">
        <f>SUM(C15:C20)</f>
        <v>6</v>
      </c>
      <c r="H15">
        <v>1</v>
      </c>
      <c r="I15">
        <v>1</v>
      </c>
      <c r="J15">
        <v>1</v>
      </c>
      <c r="K15">
        <v>1</v>
      </c>
    </row>
    <row r="16" spans="1:11" x14ac:dyDescent="0.35">
      <c r="A16" s="227" t="s">
        <v>174</v>
      </c>
      <c r="B16" s="227" t="s">
        <v>175</v>
      </c>
      <c r="C16">
        <v>1</v>
      </c>
      <c r="E16" t="s">
        <v>191</v>
      </c>
      <c r="F16" t="s">
        <v>192</v>
      </c>
      <c r="H16">
        <v>1</v>
      </c>
      <c r="I16">
        <v>1</v>
      </c>
      <c r="J16">
        <v>1</v>
      </c>
      <c r="K16">
        <v>1</v>
      </c>
    </row>
    <row r="17" spans="1:11" x14ac:dyDescent="0.35">
      <c r="A17" s="227" t="s">
        <v>137</v>
      </c>
      <c r="B17" s="227" t="s">
        <v>138</v>
      </c>
      <c r="C17">
        <v>1</v>
      </c>
      <c r="E17" t="s">
        <v>189</v>
      </c>
      <c r="F17" t="s">
        <v>187</v>
      </c>
      <c r="H17">
        <v>1</v>
      </c>
      <c r="I17">
        <v>1</v>
      </c>
      <c r="J17">
        <v>1</v>
      </c>
      <c r="K17">
        <v>1</v>
      </c>
    </row>
    <row r="18" spans="1:11" x14ac:dyDescent="0.35">
      <c r="A18" s="215" t="s">
        <v>155</v>
      </c>
      <c r="B18" s="215" t="s">
        <v>156</v>
      </c>
      <c r="C18">
        <v>1</v>
      </c>
      <c r="H18">
        <v>1</v>
      </c>
      <c r="I18">
        <v>1</v>
      </c>
      <c r="J18">
        <v>1</v>
      </c>
      <c r="K18">
        <v>1</v>
      </c>
    </row>
    <row r="19" spans="1:11" ht="16.5" customHeight="1" x14ac:dyDescent="0.35">
      <c r="A19" s="221" t="s">
        <v>157</v>
      </c>
      <c r="B19" s="221" t="s">
        <v>158</v>
      </c>
      <c r="C19">
        <v>1</v>
      </c>
      <c r="H19">
        <v>1</v>
      </c>
      <c r="I19">
        <v>1</v>
      </c>
      <c r="J19">
        <v>1</v>
      </c>
      <c r="K19">
        <v>1</v>
      </c>
    </row>
    <row r="20" spans="1:11" x14ac:dyDescent="0.35">
      <c r="A20" s="240" t="s">
        <v>178</v>
      </c>
      <c r="B20" s="240" t="s">
        <v>179</v>
      </c>
      <c r="C20">
        <v>1</v>
      </c>
      <c r="E20" t="s">
        <v>194</v>
      </c>
      <c r="H20">
        <v>1</v>
      </c>
      <c r="I20">
        <v>1</v>
      </c>
      <c r="J20">
        <v>1</v>
      </c>
      <c r="K20">
        <v>1</v>
      </c>
    </row>
    <row r="21" spans="1:11" x14ac:dyDescent="0.35">
      <c r="A21" s="233" t="s">
        <v>208</v>
      </c>
      <c r="B21" s="233"/>
      <c r="H21" s="51">
        <f>SUM(H15:H20)</f>
        <v>6</v>
      </c>
      <c r="I21" s="51">
        <f>SUM(I15:I20)</f>
        <v>6</v>
      </c>
      <c r="J21" s="51">
        <f>SUM(J15:J20)</f>
        <v>6</v>
      </c>
      <c r="K21" s="51">
        <f>SUM(K15:K20)</f>
        <v>6</v>
      </c>
    </row>
    <row r="22" spans="1:11" x14ac:dyDescent="0.35">
      <c r="A22" s="227" t="s">
        <v>176</v>
      </c>
      <c r="B22" s="227" t="s">
        <v>177</v>
      </c>
      <c r="D22">
        <v>1</v>
      </c>
      <c r="E22" t="s">
        <v>193</v>
      </c>
      <c r="G22" t="s">
        <v>203</v>
      </c>
      <c r="H22" s="247">
        <v>0.5</v>
      </c>
      <c r="I22" s="247">
        <v>1</v>
      </c>
      <c r="J22" s="247">
        <v>1</v>
      </c>
      <c r="K22" s="247">
        <v>1</v>
      </c>
    </row>
    <row r="23" spans="1:11" x14ac:dyDescent="0.35">
      <c r="A23" s="231" t="s">
        <v>113</v>
      </c>
      <c r="B23" s="231" t="s">
        <v>114</v>
      </c>
      <c r="C23" t="s">
        <v>45</v>
      </c>
      <c r="D23">
        <v>1</v>
      </c>
      <c r="H23" s="51">
        <v>1</v>
      </c>
      <c r="I23" s="51">
        <v>1</v>
      </c>
      <c r="J23" s="51">
        <v>1</v>
      </c>
      <c r="K23" s="51">
        <v>1</v>
      </c>
    </row>
    <row r="24" spans="1:11" x14ac:dyDescent="0.35">
      <c r="A24" s="213" t="s">
        <v>115</v>
      </c>
      <c r="B24" s="213" t="s">
        <v>116</v>
      </c>
      <c r="C24">
        <v>1</v>
      </c>
      <c r="D24">
        <f xml:space="preserve"> SUM(C24:C30)</f>
        <v>6.8</v>
      </c>
      <c r="H24">
        <v>1</v>
      </c>
      <c r="I24">
        <v>1</v>
      </c>
      <c r="J24">
        <v>1</v>
      </c>
      <c r="K24">
        <v>1</v>
      </c>
    </row>
    <row r="25" spans="1:11" x14ac:dyDescent="0.35">
      <c r="A25" s="235" t="s">
        <v>133</v>
      </c>
      <c r="B25" s="235" t="s">
        <v>134</v>
      </c>
      <c r="C25">
        <v>1</v>
      </c>
      <c r="H25">
        <v>1</v>
      </c>
      <c r="I25">
        <v>1</v>
      </c>
      <c r="J25">
        <v>1</v>
      </c>
      <c r="K25">
        <v>1</v>
      </c>
    </row>
    <row r="26" spans="1:11" x14ac:dyDescent="0.35">
      <c r="A26" s="237" t="s">
        <v>180</v>
      </c>
      <c r="B26" s="237" t="s">
        <v>181</v>
      </c>
      <c r="C26">
        <v>1</v>
      </c>
      <c r="E26" t="s">
        <v>189</v>
      </c>
      <c r="F26" s="234" t="s">
        <v>188</v>
      </c>
      <c r="H26">
        <v>1</v>
      </c>
      <c r="I26">
        <v>1</v>
      </c>
      <c r="J26">
        <v>1</v>
      </c>
      <c r="K26">
        <v>1</v>
      </c>
    </row>
    <row r="27" spans="1:11" x14ac:dyDescent="0.35">
      <c r="A27" s="236" t="s">
        <v>149</v>
      </c>
      <c r="B27" s="236" t="s">
        <v>150</v>
      </c>
      <c r="C27">
        <v>1</v>
      </c>
      <c r="H27">
        <v>1</v>
      </c>
      <c r="I27">
        <v>1</v>
      </c>
      <c r="J27">
        <v>1</v>
      </c>
      <c r="K27">
        <v>1</v>
      </c>
    </row>
    <row r="28" spans="1:11" x14ac:dyDescent="0.35">
      <c r="A28" s="212" t="s">
        <v>159</v>
      </c>
      <c r="B28" s="212" t="s">
        <v>160</v>
      </c>
      <c r="C28">
        <v>1</v>
      </c>
      <c r="G28" t="s">
        <v>202</v>
      </c>
      <c r="H28">
        <v>0</v>
      </c>
      <c r="I28">
        <v>0</v>
      </c>
      <c r="J28">
        <v>1</v>
      </c>
      <c r="K28">
        <v>1</v>
      </c>
    </row>
    <row r="29" spans="1:11" x14ac:dyDescent="0.35">
      <c r="A29" s="213" t="s">
        <v>164</v>
      </c>
      <c r="B29" s="213" t="s">
        <v>165</v>
      </c>
      <c r="C29">
        <v>0.8</v>
      </c>
      <c r="G29" t="s">
        <v>204</v>
      </c>
      <c r="H29">
        <v>0.4</v>
      </c>
      <c r="I29">
        <v>0.8</v>
      </c>
      <c r="J29">
        <v>0.8</v>
      </c>
      <c r="K29">
        <v>0.8</v>
      </c>
    </row>
    <row r="30" spans="1:11" x14ac:dyDescent="0.35">
      <c r="A30" s="228" t="s">
        <v>182</v>
      </c>
      <c r="B30" s="228" t="s">
        <v>183</v>
      </c>
      <c r="C30">
        <v>1</v>
      </c>
      <c r="E30" t="s">
        <v>195</v>
      </c>
      <c r="H30">
        <v>1</v>
      </c>
      <c r="I30">
        <v>1</v>
      </c>
      <c r="J30">
        <v>1</v>
      </c>
      <c r="K30">
        <v>1</v>
      </c>
    </row>
    <row r="31" spans="1:11" x14ac:dyDescent="0.35">
      <c r="A31" s="238" t="s">
        <v>209</v>
      </c>
      <c r="B31" s="238"/>
      <c r="C31" t="s">
        <v>184</v>
      </c>
      <c r="H31" s="51">
        <f>SUM(H24:H30)</f>
        <v>5.4</v>
      </c>
      <c r="I31" s="51">
        <f t="shared" ref="I31:K31" si="1">SUM(I24:I30)</f>
        <v>5.8</v>
      </c>
      <c r="J31" s="51">
        <f t="shared" si="1"/>
        <v>6.8</v>
      </c>
      <c r="K31" s="51">
        <f t="shared" si="1"/>
        <v>6.8</v>
      </c>
    </row>
    <row r="32" spans="1:11" x14ac:dyDescent="0.35">
      <c r="A32" s="242" t="s">
        <v>196</v>
      </c>
      <c r="B32" s="242"/>
      <c r="H32" s="248">
        <v>1</v>
      </c>
      <c r="I32" s="248">
        <v>1</v>
      </c>
      <c r="J32" s="197"/>
      <c r="K32" s="197"/>
    </row>
    <row r="33" spans="1:11" x14ac:dyDescent="0.35">
      <c r="A33" s="218" t="s">
        <v>129</v>
      </c>
      <c r="B33" s="218" t="s">
        <v>130</v>
      </c>
      <c r="C33">
        <v>1</v>
      </c>
      <c r="D33">
        <f>SUM(C33:C34)</f>
        <v>2</v>
      </c>
      <c r="H33">
        <v>1</v>
      </c>
      <c r="I33">
        <v>1</v>
      </c>
      <c r="J33">
        <v>1</v>
      </c>
      <c r="K33">
        <v>1</v>
      </c>
    </row>
    <row r="34" spans="1:11" x14ac:dyDescent="0.35">
      <c r="A34" s="218" t="s">
        <v>145</v>
      </c>
      <c r="B34" s="218" t="s">
        <v>146</v>
      </c>
      <c r="C34">
        <v>1</v>
      </c>
      <c r="H34" s="97">
        <v>1</v>
      </c>
      <c r="I34" s="97">
        <v>1</v>
      </c>
      <c r="J34" s="97">
        <v>1</v>
      </c>
      <c r="K34" s="97">
        <v>1</v>
      </c>
    </row>
    <row r="35" spans="1:11" x14ac:dyDescent="0.35">
      <c r="A35" s="232" t="s">
        <v>210</v>
      </c>
      <c r="B35" s="232"/>
      <c r="H35" s="247">
        <f>SUM(H33:H34)</f>
        <v>2</v>
      </c>
      <c r="I35" s="247">
        <f t="shared" ref="I35:K35" si="2">SUM(I33:I34)</f>
        <v>2</v>
      </c>
      <c r="J35" s="247">
        <f t="shared" si="2"/>
        <v>2</v>
      </c>
      <c r="K35" s="247">
        <f t="shared" si="2"/>
        <v>2</v>
      </c>
    </row>
    <row r="36" spans="1:11" x14ac:dyDescent="0.35">
      <c r="A36" s="229" t="s">
        <v>107</v>
      </c>
      <c r="B36" s="229" t="s">
        <v>108</v>
      </c>
      <c r="C36" t="s">
        <v>97</v>
      </c>
      <c r="D36">
        <v>1</v>
      </c>
      <c r="H36">
        <v>1</v>
      </c>
      <c r="I36">
        <v>1</v>
      </c>
      <c r="J36">
        <v>1</v>
      </c>
      <c r="K36">
        <v>1</v>
      </c>
    </row>
    <row r="37" spans="1:11" x14ac:dyDescent="0.35">
      <c r="A37" s="223" t="s">
        <v>139</v>
      </c>
      <c r="B37" s="223" t="s">
        <v>140</v>
      </c>
      <c r="C37">
        <v>1</v>
      </c>
      <c r="D37">
        <f>SUM(C37:C40)</f>
        <v>4</v>
      </c>
      <c r="H37">
        <v>1</v>
      </c>
      <c r="I37">
        <v>1</v>
      </c>
      <c r="J37">
        <v>1</v>
      </c>
      <c r="K37">
        <v>1</v>
      </c>
    </row>
    <row r="38" spans="1:11" x14ac:dyDescent="0.35">
      <c r="A38" s="219" t="s">
        <v>147</v>
      </c>
      <c r="B38" s="219" t="s">
        <v>148</v>
      </c>
      <c r="C38">
        <v>1</v>
      </c>
      <c r="H38">
        <v>1</v>
      </c>
      <c r="I38">
        <v>1</v>
      </c>
      <c r="J38">
        <v>1</v>
      </c>
      <c r="K38">
        <v>1</v>
      </c>
    </row>
    <row r="39" spans="1:11" x14ac:dyDescent="0.35">
      <c r="A39" s="219" t="s">
        <v>163</v>
      </c>
      <c r="B39" s="219" t="s">
        <v>124</v>
      </c>
      <c r="C39">
        <v>1</v>
      </c>
      <c r="H39">
        <v>1</v>
      </c>
      <c r="I39">
        <v>1</v>
      </c>
      <c r="J39">
        <v>1</v>
      </c>
      <c r="K39">
        <v>1</v>
      </c>
    </row>
    <row r="40" spans="1:11" x14ac:dyDescent="0.35">
      <c r="A40" s="219" t="s">
        <v>168</v>
      </c>
      <c r="B40" s="219" t="s">
        <v>169</v>
      </c>
      <c r="C40">
        <v>1</v>
      </c>
      <c r="H40">
        <v>1</v>
      </c>
      <c r="I40">
        <v>1</v>
      </c>
      <c r="J40">
        <v>1</v>
      </c>
      <c r="K40">
        <v>1</v>
      </c>
    </row>
    <row r="41" spans="1:11" x14ac:dyDescent="0.35">
      <c r="A41" s="245" t="s">
        <v>211</v>
      </c>
      <c r="H41" s="247">
        <f>SUM(H37:H40)</f>
        <v>4</v>
      </c>
      <c r="I41" s="247">
        <f t="shared" ref="I41:K41" si="3">SUM(I37:I40)</f>
        <v>4</v>
      </c>
      <c r="J41" s="247">
        <f t="shared" si="3"/>
        <v>4</v>
      </c>
      <c r="K41" s="247">
        <f t="shared" si="3"/>
        <v>4</v>
      </c>
    </row>
    <row r="42" spans="1:11" x14ac:dyDescent="0.35">
      <c r="A42" s="230" t="s">
        <v>111</v>
      </c>
      <c r="B42" s="230" t="s">
        <v>112</v>
      </c>
      <c r="C42" t="s">
        <v>185</v>
      </c>
      <c r="D42">
        <v>1</v>
      </c>
      <c r="H42" s="51">
        <v>1</v>
      </c>
      <c r="I42" s="51">
        <v>1</v>
      </c>
      <c r="J42" s="51">
        <v>1</v>
      </c>
      <c r="K42" s="51">
        <v>1</v>
      </c>
    </row>
    <row r="43" spans="1:11" x14ac:dyDescent="0.35">
      <c r="A43" s="214" t="s">
        <v>117</v>
      </c>
      <c r="B43" s="214" t="s">
        <v>118</v>
      </c>
      <c r="C43">
        <v>1</v>
      </c>
      <c r="D43">
        <f>SUM(C43:C46)</f>
        <v>4</v>
      </c>
      <c r="H43">
        <v>1</v>
      </c>
      <c r="I43">
        <v>1</v>
      </c>
      <c r="J43">
        <v>1</v>
      </c>
      <c r="K43">
        <v>1</v>
      </c>
    </row>
    <row r="44" spans="1:11" x14ac:dyDescent="0.35">
      <c r="A44" s="214" t="s">
        <v>123</v>
      </c>
      <c r="B44" s="214" t="s">
        <v>124</v>
      </c>
      <c r="C44">
        <v>1</v>
      </c>
      <c r="H44">
        <v>1</v>
      </c>
      <c r="I44">
        <v>1</v>
      </c>
      <c r="J44">
        <v>1</v>
      </c>
      <c r="K44">
        <v>1</v>
      </c>
    </row>
    <row r="45" spans="1:11" x14ac:dyDescent="0.35">
      <c r="A45" s="214" t="s">
        <v>131</v>
      </c>
      <c r="B45" s="214" t="s">
        <v>132</v>
      </c>
      <c r="C45">
        <v>1</v>
      </c>
      <c r="H45">
        <v>1</v>
      </c>
      <c r="I45">
        <v>1</v>
      </c>
      <c r="J45">
        <v>1</v>
      </c>
      <c r="K45">
        <v>1</v>
      </c>
    </row>
    <row r="46" spans="1:11" x14ac:dyDescent="0.35">
      <c r="A46" s="214" t="s">
        <v>172</v>
      </c>
      <c r="B46" s="214" t="s">
        <v>173</v>
      </c>
      <c r="C46">
        <v>1</v>
      </c>
      <c r="H46" s="97">
        <v>1</v>
      </c>
      <c r="I46" s="97">
        <v>1</v>
      </c>
      <c r="J46" s="97">
        <v>1</v>
      </c>
      <c r="K46" s="97">
        <v>1</v>
      </c>
    </row>
    <row r="47" spans="1:11" x14ac:dyDescent="0.35">
      <c r="A47" s="233" t="s">
        <v>212</v>
      </c>
      <c r="B47" s="233"/>
      <c r="C47" t="s">
        <v>186</v>
      </c>
      <c r="H47" s="247">
        <f>SUM(H43:H46)</f>
        <v>4</v>
      </c>
      <c r="I47" s="247">
        <f t="shared" ref="I47:K47" si="4">SUM(I43:I46)</f>
        <v>4</v>
      </c>
      <c r="J47" s="247">
        <f t="shared" si="4"/>
        <v>4</v>
      </c>
      <c r="K47" s="247">
        <f t="shared" si="4"/>
        <v>4</v>
      </c>
    </row>
    <row r="48" spans="1:11" ht="14.25" customHeight="1" x14ac:dyDescent="0.35">
      <c r="A48" s="220" t="s">
        <v>143</v>
      </c>
      <c r="B48" s="220" t="s">
        <v>144</v>
      </c>
      <c r="C48">
        <v>1</v>
      </c>
      <c r="D48">
        <f>SUM(C48:C49)</f>
        <v>2</v>
      </c>
      <c r="H48">
        <v>1</v>
      </c>
      <c r="I48">
        <v>1</v>
      </c>
      <c r="J48">
        <v>1</v>
      </c>
      <c r="K48">
        <v>1</v>
      </c>
    </row>
    <row r="49" spans="1:11" x14ac:dyDescent="0.35">
      <c r="A49" s="222" t="s">
        <v>166</v>
      </c>
      <c r="B49" s="222" t="s">
        <v>167</v>
      </c>
      <c r="C49">
        <v>1</v>
      </c>
      <c r="H49">
        <v>1</v>
      </c>
      <c r="I49">
        <v>1</v>
      </c>
      <c r="J49">
        <v>1</v>
      </c>
      <c r="K49">
        <v>1</v>
      </c>
    </row>
    <row r="50" spans="1:11" x14ac:dyDescent="0.35">
      <c r="A50" s="239" t="s">
        <v>213</v>
      </c>
      <c r="B50" s="239"/>
      <c r="H50" s="247">
        <f>SUM(H48:H49)</f>
        <v>2</v>
      </c>
      <c r="I50" s="247">
        <f t="shared" ref="I50:K50" si="5">SUM(I48:I49)</f>
        <v>2</v>
      </c>
      <c r="J50" s="247">
        <f t="shared" si="5"/>
        <v>2</v>
      </c>
      <c r="K50" s="247">
        <f t="shared" si="5"/>
        <v>2</v>
      </c>
    </row>
    <row r="51" spans="1:11" x14ac:dyDescent="0.35">
      <c r="A51" s="211" t="s">
        <v>126</v>
      </c>
      <c r="B51" s="211" t="s">
        <v>125</v>
      </c>
      <c r="D51">
        <v>1</v>
      </c>
      <c r="H51" s="249">
        <v>1</v>
      </c>
      <c r="I51" s="249">
        <v>1</v>
      </c>
      <c r="J51" s="249">
        <v>1</v>
      </c>
      <c r="K51" s="249">
        <v>1</v>
      </c>
    </row>
    <row r="52" spans="1:11" x14ac:dyDescent="0.35">
      <c r="A52" s="234"/>
      <c r="B52" s="234"/>
    </row>
    <row r="53" spans="1:11" x14ac:dyDescent="0.35">
      <c r="A53" s="246" t="s">
        <v>196</v>
      </c>
      <c r="B53" s="246" t="s">
        <v>205</v>
      </c>
      <c r="D53">
        <v>1</v>
      </c>
      <c r="J53" s="243"/>
      <c r="K53" s="243"/>
    </row>
    <row r="54" spans="1:11" x14ac:dyDescent="0.35">
      <c r="A54" s="244"/>
      <c r="B54" s="244"/>
    </row>
    <row r="55" spans="1:11" x14ac:dyDescent="0.35">
      <c r="A55" s="241" t="s">
        <v>206</v>
      </c>
      <c r="B55" s="244"/>
      <c r="D55">
        <f>SUM(D1:D52)</f>
        <v>40.799999999999997</v>
      </c>
      <c r="H55">
        <f>H2+H4+H13+H14+H21+H22+H23+H31+H35+H36+H41+H42+H47+H50+H51</f>
        <v>38.9</v>
      </c>
      <c r="I55">
        <f t="shared" ref="I55:K55" si="6">I2+I4+I13+I14+I21+I22+I23+I31+I35+I36+I41+I42+I47+I50+I51</f>
        <v>39.799999999999997</v>
      </c>
      <c r="J55">
        <f t="shared" si="6"/>
        <v>40.799999999999997</v>
      </c>
      <c r="K55">
        <f t="shared" si="6"/>
        <v>40.799999999999997</v>
      </c>
    </row>
    <row r="56" spans="1:11" x14ac:dyDescent="0.35">
      <c r="A56" s="241" t="s">
        <v>214</v>
      </c>
      <c r="B56" s="234"/>
      <c r="D56">
        <f>SUM(D2:D53)</f>
        <v>41.8</v>
      </c>
      <c r="H56">
        <f>H2+H4+H13+H14+H21+H22+H23+H31+H32+H35+H36+H41+H42+H47+H50+H51</f>
        <v>39.9</v>
      </c>
      <c r="I56">
        <f>I2+I4+I13+I14+I21+I22+I23+I31+I32+I35+I36+I41+I42+I47+I50+I51</f>
        <v>40.799999999999997</v>
      </c>
      <c r="J56">
        <f>J2+J4+J13+J14+J21+J22+J23+J31+J32+J35+J36+J41+J42+J47+J50+J51</f>
        <v>40.799999999999997</v>
      </c>
      <c r="K56">
        <f>K2+K4+K13+K14+K21+K22+K23+K31+K32+K35+K36+K41+K42+K47+K50+K51</f>
        <v>40.799999999999997</v>
      </c>
    </row>
    <row r="57" spans="1:11" x14ac:dyDescent="0.35">
      <c r="A57" s="234"/>
      <c r="B57" s="234"/>
    </row>
    <row r="58" spans="1:11" x14ac:dyDescent="0.35">
      <c r="A58" s="239"/>
      <c r="B58" s="239"/>
    </row>
    <row r="59" spans="1:11" x14ac:dyDescent="0.35">
      <c r="A59" s="239"/>
      <c r="B59" s="23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65"/>
  <sheetViews>
    <sheetView topLeftCell="A28" zoomScale="68" zoomScaleNormal="70" workbookViewId="0">
      <selection activeCell="AJ40" sqref="AJ40"/>
    </sheetView>
  </sheetViews>
  <sheetFormatPr baseColWidth="10" defaultRowHeight="14.5" x14ac:dyDescent="0.35"/>
  <cols>
    <col min="2" max="2" width="25.453125" customWidth="1"/>
    <col min="3" max="27" width="6.7265625" customWidth="1"/>
    <col min="28" max="28" width="40.1796875" customWidth="1"/>
    <col min="29" max="29" width="11.26953125" customWidth="1"/>
    <col min="30" max="30" width="9.1796875" customWidth="1"/>
    <col min="32" max="32" width="8.81640625" customWidth="1"/>
    <col min="34" max="35" width="11.453125" customWidth="1"/>
    <col min="36" max="36" width="12.81640625" customWidth="1"/>
    <col min="39" max="40" width="0" hidden="1" customWidth="1"/>
    <col min="47" max="47" width="18.453125" customWidth="1"/>
  </cols>
  <sheetData>
    <row r="1" spans="1:27" ht="29" thickBot="1" x14ac:dyDescent="0.4">
      <c r="B1" s="3"/>
      <c r="C1" s="66" t="s">
        <v>70</v>
      </c>
    </row>
    <row r="2" spans="1:27" x14ac:dyDescent="0.35">
      <c r="A2" s="62"/>
      <c r="B2" s="63"/>
      <c r="C2" s="52"/>
      <c r="D2" s="53"/>
      <c r="E2" s="53" t="s">
        <v>0</v>
      </c>
      <c r="F2" s="53"/>
      <c r="G2" s="54"/>
      <c r="H2" s="52"/>
      <c r="I2" s="53"/>
      <c r="J2" s="53" t="s">
        <v>1</v>
      </c>
      <c r="K2" s="53"/>
      <c r="L2" s="54"/>
      <c r="M2" s="52"/>
      <c r="N2" s="53"/>
      <c r="O2" s="53" t="s">
        <v>2</v>
      </c>
      <c r="P2" s="53"/>
      <c r="Q2" s="53"/>
      <c r="R2" s="52"/>
      <c r="S2" s="53"/>
      <c r="T2" s="53" t="s">
        <v>3</v>
      </c>
      <c r="U2" s="53"/>
      <c r="V2" s="53"/>
      <c r="W2" s="55"/>
      <c r="X2" s="56"/>
      <c r="Y2" s="56" t="s">
        <v>4</v>
      </c>
      <c r="Z2" s="56"/>
      <c r="AA2" s="57"/>
    </row>
    <row r="3" spans="1:27" ht="15" thickBot="1" x14ac:dyDescent="0.4">
      <c r="A3" s="64"/>
      <c r="B3" s="65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0">
        <v>1</v>
      </c>
      <c r="I3" s="11">
        <v>2</v>
      </c>
      <c r="J3" s="11">
        <v>3</v>
      </c>
      <c r="K3" s="11">
        <v>4</v>
      </c>
      <c r="L3" s="12">
        <v>5</v>
      </c>
      <c r="M3" s="10">
        <v>1</v>
      </c>
      <c r="N3" s="11">
        <v>2</v>
      </c>
      <c r="O3" s="11">
        <v>3</v>
      </c>
      <c r="P3" s="11">
        <v>4</v>
      </c>
      <c r="Q3" s="13">
        <v>5</v>
      </c>
      <c r="R3" s="10">
        <v>1</v>
      </c>
      <c r="S3" s="11">
        <v>2</v>
      </c>
      <c r="T3" s="11">
        <v>3</v>
      </c>
      <c r="U3" s="11">
        <v>4</v>
      </c>
      <c r="V3" s="13">
        <v>5</v>
      </c>
      <c r="W3" s="10">
        <v>1</v>
      </c>
      <c r="X3" s="11">
        <v>2</v>
      </c>
      <c r="Y3" s="11">
        <v>3</v>
      </c>
      <c r="Z3" s="11">
        <v>4</v>
      </c>
      <c r="AA3" s="12">
        <v>5</v>
      </c>
    </row>
    <row r="4" spans="1:27" ht="23.25" customHeight="1" x14ac:dyDescent="0.35">
      <c r="A4" s="82" t="s">
        <v>11</v>
      </c>
      <c r="B4" s="83" t="s">
        <v>15</v>
      </c>
      <c r="C4" s="84" t="s">
        <v>48</v>
      </c>
      <c r="D4" s="84" t="s">
        <v>48</v>
      </c>
      <c r="E4" s="84" t="s">
        <v>48</v>
      </c>
      <c r="F4" s="84" t="s">
        <v>48</v>
      </c>
      <c r="G4" s="84" t="s">
        <v>48</v>
      </c>
      <c r="H4" s="84" t="s">
        <v>48</v>
      </c>
      <c r="I4" s="84" t="s">
        <v>48</v>
      </c>
      <c r="J4" s="84" t="s">
        <v>48</v>
      </c>
      <c r="K4" s="84" t="s">
        <v>48</v>
      </c>
      <c r="L4" s="84" t="s">
        <v>48</v>
      </c>
      <c r="M4" s="87"/>
      <c r="N4" s="88"/>
      <c r="O4" s="88"/>
      <c r="P4" s="88"/>
      <c r="Q4" s="89"/>
      <c r="R4" s="87"/>
      <c r="S4" s="88"/>
      <c r="T4" s="88"/>
      <c r="U4" s="88"/>
      <c r="V4" s="90"/>
      <c r="W4" s="87"/>
      <c r="X4" s="88"/>
      <c r="Y4" s="88"/>
      <c r="Z4" s="88"/>
      <c r="AA4" s="90"/>
    </row>
    <row r="5" spans="1:27" ht="23.25" customHeight="1" x14ac:dyDescent="0.35">
      <c r="A5" s="91" t="s">
        <v>11</v>
      </c>
      <c r="B5" s="5" t="s">
        <v>34</v>
      </c>
      <c r="C5" s="6"/>
      <c r="D5" s="2"/>
      <c r="E5" s="2"/>
      <c r="F5" s="2"/>
      <c r="G5" s="7"/>
      <c r="H5" s="6"/>
      <c r="I5" s="2"/>
      <c r="J5" s="2"/>
      <c r="K5" s="2"/>
      <c r="L5" s="7"/>
      <c r="M5" s="6"/>
      <c r="N5" s="2"/>
      <c r="O5" s="2"/>
      <c r="P5" s="2"/>
      <c r="Q5" s="1"/>
      <c r="R5" s="6"/>
      <c r="S5" s="2"/>
      <c r="T5" s="2"/>
      <c r="U5" s="2"/>
      <c r="V5" s="7"/>
      <c r="W5" s="8" t="s">
        <v>48</v>
      </c>
      <c r="X5" s="2"/>
      <c r="Y5" s="4" t="s">
        <v>48</v>
      </c>
      <c r="Z5" s="4" t="s">
        <v>48</v>
      </c>
      <c r="AA5" s="9" t="s">
        <v>48</v>
      </c>
    </row>
    <row r="6" spans="1:27" ht="23.25" customHeight="1" x14ac:dyDescent="0.35">
      <c r="A6" s="91" t="s">
        <v>11</v>
      </c>
      <c r="B6" s="5" t="s">
        <v>17</v>
      </c>
      <c r="C6" s="22" t="s">
        <v>50</v>
      </c>
      <c r="D6" s="23" t="s">
        <v>50</v>
      </c>
      <c r="E6" s="23" t="s">
        <v>50</v>
      </c>
      <c r="F6" s="23" t="s">
        <v>50</v>
      </c>
      <c r="G6" s="24" t="s">
        <v>50</v>
      </c>
      <c r="H6" s="6"/>
      <c r="I6" s="2"/>
      <c r="J6" s="2"/>
      <c r="K6" s="2"/>
      <c r="L6" s="7"/>
      <c r="M6" s="6"/>
      <c r="N6" s="2"/>
      <c r="O6" s="2"/>
      <c r="P6" s="2"/>
      <c r="Q6" s="1"/>
      <c r="R6" s="6"/>
      <c r="S6" s="2"/>
      <c r="T6" s="2"/>
      <c r="U6" s="2"/>
      <c r="V6" s="7"/>
      <c r="W6" s="6"/>
      <c r="X6" s="2"/>
      <c r="Y6" s="2"/>
      <c r="Z6" s="2"/>
      <c r="AA6" s="7"/>
    </row>
    <row r="7" spans="1:27" ht="23.25" customHeight="1" x14ac:dyDescent="0.35">
      <c r="A7" s="91" t="s">
        <v>11</v>
      </c>
      <c r="B7" s="5" t="s">
        <v>25</v>
      </c>
      <c r="C7" s="6"/>
      <c r="D7" s="2"/>
      <c r="E7" s="2"/>
      <c r="F7" s="2"/>
      <c r="G7" s="7"/>
      <c r="H7" s="6"/>
      <c r="I7" s="2"/>
      <c r="J7" s="2"/>
      <c r="K7" s="2"/>
      <c r="L7" s="7"/>
      <c r="M7" s="8" t="s">
        <v>48</v>
      </c>
      <c r="N7" s="8" t="s">
        <v>48</v>
      </c>
      <c r="O7" s="8" t="s">
        <v>48</v>
      </c>
      <c r="P7" s="8" t="s">
        <v>48</v>
      </c>
      <c r="Q7" s="8" t="s">
        <v>48</v>
      </c>
      <c r="R7" s="6"/>
      <c r="S7" s="2"/>
      <c r="T7" s="2"/>
      <c r="U7" s="2"/>
      <c r="V7" s="7"/>
      <c r="W7" s="14" t="s">
        <v>49</v>
      </c>
      <c r="X7" s="4" t="s">
        <v>48</v>
      </c>
      <c r="Y7" s="15" t="s">
        <v>49</v>
      </c>
      <c r="Z7" s="20" t="s">
        <v>51</v>
      </c>
      <c r="AA7" s="24" t="s">
        <v>50</v>
      </c>
    </row>
    <row r="8" spans="1:27" ht="23.25" customHeight="1" x14ac:dyDescent="0.35">
      <c r="A8" s="91" t="s">
        <v>11</v>
      </c>
      <c r="B8" s="5" t="s">
        <v>21</v>
      </c>
      <c r="C8" s="6"/>
      <c r="D8" s="2"/>
      <c r="E8" s="2"/>
      <c r="F8" s="2"/>
      <c r="G8" s="7"/>
      <c r="H8" s="8" t="s">
        <v>48</v>
      </c>
      <c r="I8" s="4" t="s">
        <v>48</v>
      </c>
      <c r="J8" s="4" t="s">
        <v>48</v>
      </c>
      <c r="K8" s="4" t="s">
        <v>48</v>
      </c>
      <c r="L8" s="9" t="s">
        <v>48</v>
      </c>
      <c r="M8" s="6"/>
      <c r="N8" s="2"/>
      <c r="O8" s="2"/>
      <c r="P8" s="2"/>
      <c r="Q8" s="1"/>
      <c r="R8" s="6"/>
      <c r="S8" s="2"/>
      <c r="T8" s="2"/>
      <c r="U8" s="2"/>
      <c r="V8" s="7"/>
      <c r="W8" s="6"/>
      <c r="X8" s="2"/>
      <c r="Y8" s="2"/>
      <c r="Z8" s="2"/>
      <c r="AA8" s="7"/>
    </row>
    <row r="9" spans="1:27" ht="23.25" customHeight="1" x14ac:dyDescent="0.35">
      <c r="A9" s="91" t="s">
        <v>11</v>
      </c>
      <c r="B9" s="5" t="s">
        <v>23</v>
      </c>
      <c r="C9" s="6"/>
      <c r="D9" s="2"/>
      <c r="E9" s="2"/>
      <c r="F9" s="2"/>
      <c r="G9" s="7"/>
      <c r="H9" s="6"/>
      <c r="I9" s="2"/>
      <c r="J9" s="2"/>
      <c r="K9" s="2"/>
      <c r="L9" s="7"/>
      <c r="M9" s="28" t="s">
        <v>33</v>
      </c>
      <c r="N9" s="8" t="s">
        <v>48</v>
      </c>
      <c r="O9" s="27" t="s">
        <v>33</v>
      </c>
      <c r="P9" s="27" t="s">
        <v>33</v>
      </c>
      <c r="Q9" s="29" t="s">
        <v>33</v>
      </c>
      <c r="R9" s="6"/>
      <c r="S9" s="2"/>
      <c r="T9" s="2"/>
      <c r="U9" s="2"/>
      <c r="V9" s="7"/>
      <c r="W9" s="6"/>
      <c r="X9" s="2"/>
      <c r="Y9" s="2"/>
      <c r="Z9" s="2"/>
      <c r="AA9" s="7"/>
    </row>
    <row r="10" spans="1:27" ht="23.25" customHeight="1" x14ac:dyDescent="0.35">
      <c r="A10" s="91" t="s">
        <v>11</v>
      </c>
      <c r="B10" s="5" t="s">
        <v>96</v>
      </c>
      <c r="C10" s="6"/>
      <c r="D10" s="2"/>
      <c r="E10" s="23" t="s">
        <v>50</v>
      </c>
      <c r="F10" s="2"/>
      <c r="G10" s="7"/>
      <c r="H10" s="6"/>
      <c r="I10" s="2"/>
      <c r="J10" s="2"/>
      <c r="K10" s="2"/>
      <c r="L10" s="7"/>
      <c r="M10" s="28"/>
      <c r="N10" s="98"/>
      <c r="O10" s="27"/>
      <c r="P10" s="27"/>
      <c r="Q10" s="29"/>
      <c r="R10" s="6"/>
      <c r="S10" s="2"/>
      <c r="T10" s="2"/>
      <c r="U10" s="2"/>
      <c r="V10" s="7"/>
      <c r="W10" s="6"/>
      <c r="X10" s="2"/>
      <c r="Y10" s="2"/>
      <c r="Z10" s="2"/>
      <c r="AA10" s="7"/>
    </row>
    <row r="11" spans="1:27" ht="23.25" customHeight="1" x14ac:dyDescent="0.35">
      <c r="A11" s="91" t="s">
        <v>11</v>
      </c>
      <c r="B11" s="5" t="s">
        <v>9</v>
      </c>
      <c r="C11" s="6"/>
      <c r="D11" s="2"/>
      <c r="E11" s="2"/>
      <c r="F11" s="2"/>
      <c r="G11" s="7"/>
      <c r="H11" s="6"/>
      <c r="I11" s="2"/>
      <c r="J11" s="2"/>
      <c r="K11" s="2"/>
      <c r="L11" s="7"/>
      <c r="M11" s="164" t="s">
        <v>52</v>
      </c>
      <c r="N11" s="15" t="s">
        <v>49</v>
      </c>
      <c r="O11" s="165" t="s">
        <v>52</v>
      </c>
      <c r="P11" s="4" t="s">
        <v>48</v>
      </c>
      <c r="Q11" s="33" t="s">
        <v>48</v>
      </c>
      <c r="R11" s="6"/>
      <c r="S11" s="2"/>
      <c r="T11" s="23" t="s">
        <v>50</v>
      </c>
      <c r="U11" s="27" t="s">
        <v>33</v>
      </c>
      <c r="V11" s="7"/>
      <c r="W11" s="6"/>
      <c r="X11" s="2"/>
      <c r="Y11" s="2"/>
      <c r="Z11" s="2"/>
      <c r="AA11" s="7"/>
    </row>
    <row r="12" spans="1:27" ht="23.25" customHeight="1" thickBot="1" x14ac:dyDescent="0.4">
      <c r="A12" s="92" t="s">
        <v>11</v>
      </c>
      <c r="B12" s="93" t="s">
        <v>35</v>
      </c>
      <c r="C12" s="10"/>
      <c r="D12" s="11"/>
      <c r="E12" s="11"/>
      <c r="F12" s="11"/>
      <c r="G12" s="12"/>
      <c r="H12" s="94" t="s">
        <v>50</v>
      </c>
      <c r="I12" s="95" t="s">
        <v>50</v>
      </c>
      <c r="J12" s="95" t="s">
        <v>50</v>
      </c>
      <c r="K12" s="95" t="s">
        <v>50</v>
      </c>
      <c r="L12" s="96" t="s">
        <v>50</v>
      </c>
      <c r="M12" s="94" t="s">
        <v>50</v>
      </c>
      <c r="N12" s="95" t="s">
        <v>50</v>
      </c>
      <c r="O12" s="95" t="s">
        <v>50</v>
      </c>
      <c r="P12" s="95" t="s">
        <v>50</v>
      </c>
      <c r="Q12" s="96" t="s">
        <v>50</v>
      </c>
      <c r="R12" s="94" t="s">
        <v>50</v>
      </c>
      <c r="S12" s="95" t="s">
        <v>50</v>
      </c>
      <c r="T12" s="95" t="s">
        <v>50</v>
      </c>
      <c r="U12" s="95" t="s">
        <v>50</v>
      </c>
      <c r="V12" s="96" t="s">
        <v>50</v>
      </c>
      <c r="W12" s="10"/>
      <c r="X12" s="11"/>
      <c r="Y12" s="11"/>
      <c r="Z12" s="11"/>
      <c r="AA12" s="12"/>
    </row>
    <row r="13" spans="1:27" ht="23.25" customHeight="1" x14ac:dyDescent="0.35">
      <c r="A13" s="78" t="s">
        <v>12</v>
      </c>
      <c r="B13" s="18" t="s">
        <v>16</v>
      </c>
      <c r="C13" s="59"/>
      <c r="D13" s="58"/>
      <c r="E13" s="58"/>
      <c r="F13" s="58"/>
      <c r="G13" s="61"/>
      <c r="H13" s="59"/>
      <c r="I13" s="58"/>
      <c r="J13" s="58"/>
      <c r="K13" s="58"/>
      <c r="L13" s="61"/>
      <c r="M13" s="59"/>
      <c r="N13" s="79" t="s">
        <v>33</v>
      </c>
      <c r="O13" s="58"/>
      <c r="P13" s="58"/>
      <c r="Q13" s="60"/>
      <c r="R13" s="80" t="s">
        <v>33</v>
      </c>
      <c r="S13" s="79" t="s">
        <v>33</v>
      </c>
      <c r="T13" s="79" t="s">
        <v>33</v>
      </c>
      <c r="U13" s="79" t="s">
        <v>33</v>
      </c>
      <c r="V13" s="81" t="s">
        <v>33</v>
      </c>
      <c r="W13" s="80" t="s">
        <v>33</v>
      </c>
      <c r="X13" s="79" t="s">
        <v>33</v>
      </c>
      <c r="Y13" s="79" t="s">
        <v>33</v>
      </c>
      <c r="Z13" s="79" t="s">
        <v>33</v>
      </c>
      <c r="AA13" s="81" t="s">
        <v>33</v>
      </c>
    </row>
    <row r="14" spans="1:27" ht="23.25" customHeight="1" x14ac:dyDescent="0.35">
      <c r="A14" s="77" t="s">
        <v>12</v>
      </c>
      <c r="B14" s="5" t="s">
        <v>28</v>
      </c>
      <c r="C14" s="6"/>
      <c r="D14" s="2"/>
      <c r="E14" s="2"/>
      <c r="F14" s="2"/>
      <c r="G14" s="7"/>
      <c r="H14" s="28" t="s">
        <v>33</v>
      </c>
      <c r="I14" s="15" t="s">
        <v>49</v>
      </c>
      <c r="J14" s="15" t="s">
        <v>49</v>
      </c>
      <c r="K14" s="15" t="s">
        <v>49</v>
      </c>
      <c r="L14" s="16" t="s">
        <v>49</v>
      </c>
      <c r="M14" s="6"/>
      <c r="N14" s="15" t="s">
        <v>49</v>
      </c>
      <c r="O14" s="2"/>
      <c r="P14" s="15" t="s">
        <v>49</v>
      </c>
      <c r="Q14" s="1"/>
      <c r="R14" s="6"/>
      <c r="S14" s="2"/>
      <c r="T14" s="2"/>
      <c r="U14" s="2"/>
      <c r="V14" s="7"/>
      <c r="W14" s="6"/>
      <c r="X14" s="2"/>
      <c r="Y14" s="2"/>
      <c r="Z14" s="2"/>
      <c r="AA14" s="7"/>
    </row>
    <row r="15" spans="1:27" ht="23.25" customHeight="1" x14ac:dyDescent="0.35">
      <c r="A15" s="77" t="s">
        <v>12</v>
      </c>
      <c r="B15" s="5" t="s">
        <v>18</v>
      </c>
      <c r="C15" s="6"/>
      <c r="D15" s="2"/>
      <c r="E15" s="2"/>
      <c r="F15" s="2"/>
      <c r="G15" s="7"/>
      <c r="H15" s="6"/>
      <c r="I15" s="2"/>
      <c r="J15" s="2"/>
      <c r="K15" s="2"/>
      <c r="L15" s="7"/>
      <c r="M15" s="6"/>
      <c r="N15" s="2"/>
      <c r="O15" s="2"/>
      <c r="P15" s="2"/>
      <c r="Q15" s="1"/>
      <c r="R15" s="14" t="s">
        <v>49</v>
      </c>
      <c r="S15" s="15" t="s">
        <v>49</v>
      </c>
      <c r="T15" s="15" t="s">
        <v>49</v>
      </c>
      <c r="U15" s="15" t="s">
        <v>49</v>
      </c>
      <c r="V15" s="16" t="s">
        <v>49</v>
      </c>
      <c r="W15" s="14" t="s">
        <v>49</v>
      </c>
      <c r="X15" s="99" t="s">
        <v>49</v>
      </c>
      <c r="Y15" s="15" t="s">
        <v>49</v>
      </c>
      <c r="Z15" s="15" t="s">
        <v>49</v>
      </c>
      <c r="AA15" s="16" t="s">
        <v>49</v>
      </c>
    </row>
    <row r="16" spans="1:27" ht="23.25" customHeight="1" x14ac:dyDescent="0.35">
      <c r="A16" s="77" t="s">
        <v>12</v>
      </c>
      <c r="B16" s="5" t="s">
        <v>19</v>
      </c>
      <c r="C16" s="8" t="s">
        <v>48</v>
      </c>
      <c r="D16" s="4" t="s">
        <v>48</v>
      </c>
      <c r="E16" s="27" t="s">
        <v>33</v>
      </c>
      <c r="F16" s="4" t="s">
        <v>48</v>
      </c>
      <c r="G16" s="9" t="s">
        <v>48</v>
      </c>
      <c r="H16" s="14" t="s">
        <v>49</v>
      </c>
      <c r="I16" s="68" t="s">
        <v>53</v>
      </c>
      <c r="J16" s="68" t="s">
        <v>53</v>
      </c>
      <c r="K16" s="68" t="s">
        <v>53</v>
      </c>
      <c r="L16" s="69" t="s">
        <v>53</v>
      </c>
      <c r="M16" s="8" t="s">
        <v>48</v>
      </c>
      <c r="N16" s="4" t="s">
        <v>48</v>
      </c>
      <c r="O16" s="4" t="s">
        <v>48</v>
      </c>
      <c r="P16" s="4" t="s">
        <v>48</v>
      </c>
      <c r="Q16" s="33" t="s">
        <v>48</v>
      </c>
      <c r="R16" s="8" t="s">
        <v>48</v>
      </c>
      <c r="S16" s="20" t="s">
        <v>51</v>
      </c>
      <c r="T16" s="23" t="s">
        <v>50</v>
      </c>
      <c r="U16" s="23" t="s">
        <v>50</v>
      </c>
      <c r="V16" s="24" t="s">
        <v>50</v>
      </c>
      <c r="W16" s="182" t="s">
        <v>53</v>
      </c>
      <c r="X16" s="100" t="s">
        <v>52</v>
      </c>
      <c r="Y16" s="98" t="s">
        <v>48</v>
      </c>
      <c r="Z16" s="183" t="s">
        <v>53</v>
      </c>
      <c r="AA16" s="9" t="s">
        <v>48</v>
      </c>
    </row>
    <row r="17" spans="1:38" ht="23.25" customHeight="1" x14ac:dyDescent="0.35">
      <c r="A17" s="77" t="s">
        <v>12</v>
      </c>
      <c r="B17" s="5" t="s">
        <v>20</v>
      </c>
      <c r="C17" s="14" t="s">
        <v>49</v>
      </c>
      <c r="D17" s="15" t="s">
        <v>49</v>
      </c>
      <c r="E17" s="4" t="s">
        <v>48</v>
      </c>
      <c r="F17" s="15" t="s">
        <v>49</v>
      </c>
      <c r="G17" s="9" t="s">
        <v>48</v>
      </c>
      <c r="H17" s="6"/>
      <c r="I17" s="2"/>
      <c r="J17" s="2"/>
      <c r="K17" s="2"/>
      <c r="L17" s="7"/>
      <c r="M17" s="6"/>
      <c r="N17" s="2"/>
      <c r="O17" s="2"/>
      <c r="P17" s="2"/>
      <c r="Q17" s="1"/>
      <c r="R17" s="6"/>
      <c r="S17" s="2"/>
      <c r="T17" s="2"/>
      <c r="U17" s="2"/>
      <c r="V17" s="7"/>
      <c r="W17" s="6"/>
      <c r="X17" s="58"/>
      <c r="Y17" s="2"/>
      <c r="Z17" s="2"/>
      <c r="AA17" s="7"/>
    </row>
    <row r="18" spans="1:38" ht="23.25" customHeight="1" x14ac:dyDescent="0.35">
      <c r="A18" s="77" t="s">
        <v>12</v>
      </c>
      <c r="B18" s="5" t="s">
        <v>22</v>
      </c>
      <c r="C18" s="6"/>
      <c r="D18" s="2"/>
      <c r="E18" s="2"/>
      <c r="F18" s="2"/>
      <c r="G18" s="7"/>
      <c r="H18" s="8" t="s">
        <v>48</v>
      </c>
      <c r="I18" s="4" t="s">
        <v>48</v>
      </c>
      <c r="J18" s="4" t="s">
        <v>48</v>
      </c>
      <c r="K18" s="4" t="s">
        <v>48</v>
      </c>
      <c r="L18" s="9" t="s">
        <v>48</v>
      </c>
      <c r="M18" s="6"/>
      <c r="N18" s="2"/>
      <c r="O18" s="2"/>
      <c r="P18" s="2"/>
      <c r="Q18" s="1"/>
      <c r="R18" s="19" t="s">
        <v>51</v>
      </c>
      <c r="S18" s="20" t="s">
        <v>51</v>
      </c>
      <c r="T18" s="20" t="s">
        <v>51</v>
      </c>
      <c r="U18" s="20" t="s">
        <v>51</v>
      </c>
      <c r="V18" s="21" t="s">
        <v>51</v>
      </c>
      <c r="W18" s="6"/>
      <c r="X18" s="2"/>
      <c r="Y18" s="2"/>
      <c r="Z18" s="2"/>
      <c r="AA18" s="7"/>
    </row>
    <row r="19" spans="1:38" ht="23.25" customHeight="1" x14ac:dyDescent="0.35">
      <c r="A19" s="77" t="s">
        <v>12</v>
      </c>
      <c r="B19" s="5" t="s">
        <v>32</v>
      </c>
      <c r="C19" s="6"/>
      <c r="D19" s="2"/>
      <c r="E19" s="2"/>
      <c r="F19" s="2"/>
      <c r="G19" s="7"/>
      <c r="H19" s="6"/>
      <c r="I19" s="2"/>
      <c r="J19" s="23" t="s">
        <v>50</v>
      </c>
      <c r="K19" s="2"/>
      <c r="L19" s="7"/>
      <c r="M19" s="30"/>
      <c r="N19" s="31"/>
      <c r="O19" s="31"/>
      <c r="P19" s="31"/>
      <c r="Q19" s="43"/>
      <c r="R19" s="6"/>
      <c r="S19" s="2"/>
      <c r="T19" s="2"/>
      <c r="U19" s="2"/>
      <c r="V19" s="7"/>
      <c r="W19" s="6"/>
      <c r="X19" s="2"/>
      <c r="Y19" s="2"/>
      <c r="Z19" s="2"/>
      <c r="AA19" s="7"/>
    </row>
    <row r="20" spans="1:38" ht="23.25" customHeight="1" x14ac:dyDescent="0.35">
      <c r="A20" s="77" t="s">
        <v>12</v>
      </c>
      <c r="B20" s="5" t="s">
        <v>24</v>
      </c>
      <c r="C20" s="36" t="s">
        <v>51</v>
      </c>
      <c r="D20" s="23" t="s">
        <v>50</v>
      </c>
      <c r="E20" s="23" t="s">
        <v>50</v>
      </c>
      <c r="F20" s="23" t="s">
        <v>50</v>
      </c>
      <c r="G20" s="24" t="s">
        <v>50</v>
      </c>
      <c r="H20" s="6"/>
      <c r="I20" s="2"/>
      <c r="J20" s="2"/>
      <c r="K20" s="2"/>
      <c r="L20" s="7"/>
      <c r="M20" s="6"/>
      <c r="N20" s="2"/>
      <c r="O20" s="2"/>
      <c r="P20" s="2"/>
      <c r="Q20" s="1"/>
      <c r="R20" s="6"/>
      <c r="S20" s="2"/>
      <c r="T20" s="2"/>
      <c r="U20" s="2"/>
      <c r="V20" s="7"/>
      <c r="W20" s="6"/>
      <c r="X20" s="2"/>
      <c r="Y20" s="2"/>
      <c r="Z20" s="2"/>
      <c r="AA20" s="7"/>
    </row>
    <row r="21" spans="1:38" ht="23.25" customHeight="1" x14ac:dyDescent="0.35">
      <c r="A21" s="77" t="s">
        <v>12</v>
      </c>
      <c r="B21" s="5" t="s">
        <v>37</v>
      </c>
      <c r="C21" s="8" t="s">
        <v>48</v>
      </c>
      <c r="D21" s="2"/>
      <c r="E21" s="4" t="s">
        <v>48</v>
      </c>
      <c r="F21" s="2"/>
      <c r="G21" s="7"/>
      <c r="H21" s="6"/>
      <c r="I21" s="2"/>
      <c r="J21" s="2"/>
      <c r="K21" s="2"/>
      <c r="L21" s="7"/>
      <c r="M21" s="6"/>
      <c r="N21" s="2"/>
      <c r="O21" s="2"/>
      <c r="P21" s="2"/>
      <c r="Q21" s="1"/>
      <c r="R21" s="6"/>
      <c r="S21" s="2"/>
      <c r="T21" s="2"/>
      <c r="U21" s="2"/>
      <c r="V21" s="7"/>
      <c r="W21" s="6"/>
      <c r="X21" s="2"/>
      <c r="Y21" s="2"/>
      <c r="Z21" s="2"/>
      <c r="AA21" s="7"/>
    </row>
    <row r="22" spans="1:38" ht="23.25" customHeight="1" x14ac:dyDescent="0.35">
      <c r="A22" s="77" t="s">
        <v>36</v>
      </c>
      <c r="B22" s="5" t="s">
        <v>35</v>
      </c>
      <c r="C22" s="6"/>
      <c r="D22" s="2"/>
      <c r="E22" s="2"/>
      <c r="F22" s="2"/>
      <c r="G22" s="7"/>
      <c r="H22" s="22" t="s">
        <v>50</v>
      </c>
      <c r="I22" s="23" t="s">
        <v>50</v>
      </c>
      <c r="J22" s="23" t="s">
        <v>50</v>
      </c>
      <c r="K22" s="26" t="s">
        <v>50</v>
      </c>
      <c r="L22" s="35" t="s">
        <v>50</v>
      </c>
      <c r="M22" s="22" t="s">
        <v>50</v>
      </c>
      <c r="N22" s="23" t="s">
        <v>50</v>
      </c>
      <c r="O22" s="23" t="s">
        <v>50</v>
      </c>
      <c r="P22" s="26" t="s">
        <v>50</v>
      </c>
      <c r="Q22" s="35" t="s">
        <v>50</v>
      </c>
      <c r="R22" s="22" t="s">
        <v>50</v>
      </c>
      <c r="S22" s="23" t="s">
        <v>50</v>
      </c>
      <c r="T22" s="23" t="s">
        <v>50</v>
      </c>
      <c r="U22" s="26" t="s">
        <v>50</v>
      </c>
      <c r="V22" s="35" t="s">
        <v>50</v>
      </c>
      <c r="W22" s="6"/>
      <c r="X22" s="2"/>
      <c r="Y22" s="2"/>
      <c r="Z22" s="2"/>
      <c r="AA22" s="7"/>
    </row>
    <row r="23" spans="1:38" ht="23.25" customHeight="1" x14ac:dyDescent="0.35">
      <c r="A23" s="19" t="s">
        <v>27</v>
      </c>
      <c r="B23" s="5" t="s">
        <v>5</v>
      </c>
      <c r="C23" s="6"/>
      <c r="D23" s="2"/>
      <c r="E23" s="2"/>
      <c r="F23" s="2"/>
      <c r="G23" s="7"/>
      <c r="H23" s="36" t="s">
        <v>51</v>
      </c>
      <c r="I23" s="40"/>
      <c r="J23" s="42" t="s">
        <v>51</v>
      </c>
      <c r="K23" s="42" t="s">
        <v>51</v>
      </c>
      <c r="L23" s="39"/>
      <c r="M23" s="37"/>
      <c r="N23" s="38"/>
      <c r="O23" s="38"/>
      <c r="P23" s="38"/>
      <c r="Q23" s="40"/>
      <c r="R23" s="37"/>
      <c r="S23" s="38"/>
      <c r="T23" s="38"/>
      <c r="U23" s="38"/>
      <c r="V23" s="39"/>
      <c r="W23" s="32"/>
      <c r="X23" s="41"/>
      <c r="Y23" s="41"/>
      <c r="Z23" s="2"/>
      <c r="AA23" s="7"/>
    </row>
    <row r="24" spans="1:38" ht="23.25" customHeight="1" x14ac:dyDescent="0.35">
      <c r="A24" s="19" t="s">
        <v>12</v>
      </c>
      <c r="B24" s="5" t="s">
        <v>5</v>
      </c>
      <c r="C24" s="36" t="s">
        <v>51</v>
      </c>
      <c r="D24" s="2"/>
      <c r="E24" s="42" t="s">
        <v>51</v>
      </c>
      <c r="F24" s="2"/>
      <c r="G24" s="7"/>
      <c r="H24" s="37"/>
      <c r="I24" s="38"/>
      <c r="K24" s="38"/>
      <c r="L24" s="39"/>
      <c r="M24" s="36" t="s">
        <v>51</v>
      </c>
      <c r="N24" s="38"/>
      <c r="O24" s="38"/>
      <c r="P24" s="38"/>
      <c r="Q24" s="40"/>
      <c r="R24" s="37"/>
      <c r="S24" s="38"/>
      <c r="T24" s="42" t="s">
        <v>51</v>
      </c>
      <c r="U24" s="38"/>
      <c r="V24" s="39"/>
      <c r="W24" s="32"/>
      <c r="X24" s="41"/>
      <c r="Y24" s="41"/>
      <c r="Z24" s="2"/>
      <c r="AA24" s="7"/>
    </row>
    <row r="25" spans="1:38" ht="23.25" customHeight="1" x14ac:dyDescent="0.35">
      <c r="A25" s="67" t="s">
        <v>11</v>
      </c>
      <c r="B25" s="5" t="s">
        <v>6</v>
      </c>
      <c r="C25" s="6"/>
      <c r="D25" s="2"/>
      <c r="E25" s="2"/>
      <c r="F25" s="2"/>
      <c r="G25" s="7"/>
      <c r="H25" s="70" t="s">
        <v>53</v>
      </c>
      <c r="I25" s="74"/>
      <c r="J25" s="74"/>
      <c r="K25" s="74"/>
      <c r="L25" s="75"/>
      <c r="M25" s="37"/>
      <c r="N25" s="38"/>
      <c r="O25" s="38"/>
      <c r="P25" s="38"/>
      <c r="Q25" s="40"/>
      <c r="R25" s="70" t="s">
        <v>53</v>
      </c>
      <c r="S25" s="71" t="s">
        <v>53</v>
      </c>
      <c r="T25" s="71" t="s">
        <v>53</v>
      </c>
      <c r="U25" s="71" t="s">
        <v>53</v>
      </c>
      <c r="V25" s="39"/>
      <c r="W25" s="32"/>
      <c r="X25" s="41"/>
      <c r="Y25" s="41"/>
      <c r="Z25" s="2"/>
      <c r="AA25" s="7"/>
    </row>
    <row r="26" spans="1:38" ht="23.25" customHeight="1" x14ac:dyDescent="0.35">
      <c r="A26" s="67" t="s">
        <v>12</v>
      </c>
      <c r="B26" s="5" t="s">
        <v>6</v>
      </c>
      <c r="C26" s="6"/>
      <c r="D26" s="2"/>
      <c r="E26" s="2"/>
      <c r="F26" s="2"/>
      <c r="G26" s="7"/>
      <c r="H26" s="37"/>
      <c r="I26" s="38"/>
      <c r="J26" s="38"/>
      <c r="K26" s="38"/>
      <c r="L26" s="39"/>
      <c r="M26" s="37"/>
      <c r="N26" s="38"/>
      <c r="O26" s="38"/>
      <c r="P26" s="38"/>
      <c r="Q26" s="40"/>
      <c r="R26" s="70" t="s">
        <v>53</v>
      </c>
      <c r="S26" s="71" t="s">
        <v>53</v>
      </c>
      <c r="T26" s="71" t="s">
        <v>53</v>
      </c>
      <c r="U26" s="71" t="s">
        <v>53</v>
      </c>
      <c r="V26" s="39"/>
      <c r="W26" s="32"/>
      <c r="X26" s="41"/>
      <c r="Y26" s="41"/>
      <c r="Z26" s="2"/>
      <c r="AA26" s="7"/>
    </row>
    <row r="27" spans="1:38" ht="36" customHeight="1" x14ac:dyDescent="0.35">
      <c r="A27" s="67" t="s">
        <v>12</v>
      </c>
      <c r="B27" s="5" t="s">
        <v>30</v>
      </c>
      <c r="C27" s="67" t="s">
        <v>53</v>
      </c>
      <c r="D27" s="68" t="s">
        <v>53</v>
      </c>
      <c r="E27" s="68" t="s">
        <v>53</v>
      </c>
      <c r="F27" s="68" t="s">
        <v>53</v>
      </c>
      <c r="G27" s="69" t="s">
        <v>53</v>
      </c>
      <c r="H27" s="37"/>
      <c r="I27" s="38"/>
      <c r="J27" s="38"/>
      <c r="K27" s="38"/>
      <c r="L27" s="39"/>
      <c r="M27" s="70" t="s">
        <v>53</v>
      </c>
      <c r="N27" s="71" t="s">
        <v>53</v>
      </c>
      <c r="O27" s="71" t="s">
        <v>53</v>
      </c>
      <c r="P27" s="71" t="s">
        <v>53</v>
      </c>
      <c r="Q27" s="73" t="s">
        <v>53</v>
      </c>
      <c r="R27" s="37"/>
      <c r="S27" s="38"/>
      <c r="T27" s="38"/>
      <c r="U27" s="38"/>
      <c r="V27" s="39"/>
      <c r="W27" s="32"/>
      <c r="X27" s="41"/>
      <c r="Y27" s="41"/>
      <c r="Z27" s="2"/>
      <c r="AA27" s="7"/>
      <c r="AC27">
        <f>(19+16)/2</f>
        <v>17.5</v>
      </c>
    </row>
    <row r="28" spans="1:38" ht="23.25" customHeight="1" x14ac:dyDescent="0.35">
      <c r="A28" s="67" t="s">
        <v>29</v>
      </c>
      <c r="B28" s="5" t="s">
        <v>7</v>
      </c>
      <c r="C28" s="6"/>
      <c r="D28" s="2"/>
      <c r="E28" s="2"/>
      <c r="F28" s="2"/>
      <c r="G28" s="7"/>
      <c r="H28" s="37"/>
      <c r="I28" s="38"/>
      <c r="J28" s="38"/>
      <c r="K28" s="38"/>
      <c r="L28" s="39"/>
      <c r="M28" s="37"/>
      <c r="N28" s="38"/>
      <c r="O28" s="38"/>
      <c r="P28" s="38"/>
      <c r="Q28" s="40"/>
      <c r="R28" s="70" t="s">
        <v>53</v>
      </c>
      <c r="S28" s="71" t="s">
        <v>53</v>
      </c>
      <c r="T28" s="71" t="s">
        <v>53</v>
      </c>
      <c r="U28" s="71" t="s">
        <v>53</v>
      </c>
      <c r="V28" s="72" t="s">
        <v>53</v>
      </c>
      <c r="W28" s="32"/>
      <c r="X28" s="41"/>
      <c r="Y28" s="41"/>
      <c r="Z28" s="2"/>
      <c r="AA28" s="7"/>
      <c r="AC28">
        <f>(4*12)/(208*4)</f>
        <v>5.7692307692307696E-2</v>
      </c>
    </row>
    <row r="29" spans="1:38" ht="23.25" customHeight="1" x14ac:dyDescent="0.35">
      <c r="A29" s="67" t="s">
        <v>14</v>
      </c>
      <c r="B29" s="5" t="s">
        <v>13</v>
      </c>
      <c r="C29" s="6"/>
      <c r="D29" s="2"/>
      <c r="E29" s="2"/>
      <c r="F29" s="2"/>
      <c r="G29" s="7"/>
      <c r="H29" s="6"/>
      <c r="I29" s="2"/>
      <c r="J29" s="2"/>
      <c r="K29" s="2"/>
      <c r="L29" s="7"/>
      <c r="M29" s="6"/>
      <c r="N29" s="2"/>
      <c r="O29" s="2"/>
      <c r="P29" s="2"/>
      <c r="Q29" s="1"/>
      <c r="R29" s="6"/>
      <c r="S29" s="2"/>
      <c r="T29" s="2"/>
      <c r="U29" s="2"/>
      <c r="V29" s="7"/>
      <c r="W29" s="32"/>
      <c r="X29" s="76" t="s">
        <v>53</v>
      </c>
      <c r="Y29" s="76"/>
      <c r="Z29" s="41"/>
      <c r="AA29" s="44"/>
      <c r="AC29">
        <f>12/208</f>
        <v>5.7692307692307696E-2</v>
      </c>
    </row>
    <row r="30" spans="1:38" ht="23.25" customHeight="1" x14ac:dyDescent="0.35">
      <c r="A30" s="14" t="s">
        <v>11</v>
      </c>
      <c r="B30" s="5" t="s">
        <v>26</v>
      </c>
      <c r="C30" s="6"/>
      <c r="D30" s="2"/>
      <c r="E30" s="2"/>
      <c r="F30" s="2"/>
      <c r="G30" s="7"/>
      <c r="H30" s="6"/>
      <c r="I30" s="2"/>
      <c r="J30" s="2"/>
      <c r="K30" s="2"/>
      <c r="L30" s="7"/>
      <c r="M30" s="6"/>
      <c r="N30" s="2"/>
      <c r="O30" s="2"/>
      <c r="P30" s="2"/>
      <c r="Q30" s="1"/>
      <c r="R30" s="6"/>
      <c r="S30" s="2"/>
      <c r="T30" s="2"/>
      <c r="U30" s="2"/>
      <c r="V30" s="7"/>
      <c r="W30" s="6"/>
      <c r="X30" s="15" t="s">
        <v>49</v>
      </c>
      <c r="Y30" s="2"/>
      <c r="Z30" s="15" t="s">
        <v>49</v>
      </c>
      <c r="AA30" s="7"/>
      <c r="AC30">
        <f>(2*10)/(208*8)</f>
        <v>1.201923076923077E-2</v>
      </c>
    </row>
    <row r="31" spans="1:38" ht="23.25" customHeight="1" x14ac:dyDescent="0.35">
      <c r="A31" s="14" t="s">
        <v>11</v>
      </c>
      <c r="B31" s="5" t="s">
        <v>8</v>
      </c>
      <c r="C31" s="6"/>
      <c r="D31" s="2"/>
      <c r="E31" s="2"/>
      <c r="F31" s="2"/>
      <c r="G31" s="7"/>
      <c r="H31" s="14" t="s">
        <v>49</v>
      </c>
      <c r="I31" s="15" t="s">
        <v>49</v>
      </c>
      <c r="J31" s="15" t="s">
        <v>49</v>
      </c>
      <c r="K31" s="15" t="s">
        <v>49</v>
      </c>
      <c r="L31" s="16" t="s">
        <v>49</v>
      </c>
      <c r="M31" s="14" t="s">
        <v>49</v>
      </c>
      <c r="N31" s="15" t="s">
        <v>49</v>
      </c>
      <c r="O31" s="15" t="s">
        <v>49</v>
      </c>
      <c r="P31" s="15" t="s">
        <v>49</v>
      </c>
      <c r="Q31" s="17" t="s">
        <v>49</v>
      </c>
      <c r="R31" s="14" t="s">
        <v>49</v>
      </c>
      <c r="S31" s="15" t="s">
        <v>49</v>
      </c>
      <c r="T31" s="15" t="s">
        <v>49</v>
      </c>
      <c r="U31" s="15" t="s">
        <v>49</v>
      </c>
      <c r="V31" s="16" t="s">
        <v>49</v>
      </c>
      <c r="W31" s="6"/>
      <c r="X31" s="2"/>
      <c r="Y31" s="2"/>
      <c r="Z31" s="2"/>
      <c r="AA31" s="7"/>
      <c r="AC31">
        <f>42.5/2/6</f>
        <v>3.5416666666666665</v>
      </c>
      <c r="AD31">
        <f>(AC31*10)/208</f>
        <v>0.17027243589743588</v>
      </c>
      <c r="AJ31" t="s">
        <v>84</v>
      </c>
      <c r="AK31" t="s">
        <v>78</v>
      </c>
    </row>
    <row r="32" spans="1:38" ht="23.25" customHeight="1" x14ac:dyDescent="0.35">
      <c r="A32" s="14" t="s">
        <v>12</v>
      </c>
      <c r="B32" s="5" t="s">
        <v>8</v>
      </c>
      <c r="C32" s="6"/>
      <c r="D32" s="2"/>
      <c r="E32" s="2"/>
      <c r="F32" s="2"/>
      <c r="G32" s="7"/>
      <c r="H32" s="14" t="s">
        <v>49</v>
      </c>
      <c r="I32" s="2"/>
      <c r="J32" s="2"/>
      <c r="K32" s="2"/>
      <c r="L32" s="7"/>
      <c r="M32" s="6"/>
      <c r="N32" s="2"/>
      <c r="O32" s="2"/>
      <c r="P32" s="25"/>
      <c r="Q32" s="34"/>
      <c r="R32" s="6"/>
      <c r="S32" s="2"/>
      <c r="T32" s="15" t="s">
        <v>49</v>
      </c>
      <c r="V32" s="7"/>
      <c r="W32" s="6"/>
      <c r="X32" s="2"/>
      <c r="Y32" s="2"/>
      <c r="Z32" s="2"/>
      <c r="AA32" s="7"/>
      <c r="AJ32">
        <v>300</v>
      </c>
      <c r="AK32">
        <f>AS37*2</f>
        <v>85.6</v>
      </c>
      <c r="AL32" t="s">
        <v>81</v>
      </c>
    </row>
    <row r="33" spans="1:48" ht="23.25" customHeight="1" thickBot="1" x14ac:dyDescent="0.4">
      <c r="A33" s="45" t="s">
        <v>11</v>
      </c>
      <c r="B33" s="46" t="s">
        <v>10</v>
      </c>
      <c r="C33" s="47"/>
      <c r="D33" s="48"/>
      <c r="E33" s="48"/>
      <c r="F33" s="48"/>
      <c r="G33" s="49"/>
      <c r="H33" s="47"/>
      <c r="I33" s="48"/>
      <c r="J33" s="48"/>
      <c r="K33" s="48"/>
      <c r="L33" s="49"/>
      <c r="M33" s="47"/>
      <c r="N33" s="48"/>
      <c r="O33" s="48"/>
      <c r="P33" s="48"/>
      <c r="Q33" s="50"/>
      <c r="R33" s="47"/>
      <c r="S33" s="48"/>
      <c r="T33" s="48"/>
      <c r="U33" s="48"/>
      <c r="V33" s="49"/>
      <c r="W33" s="47"/>
      <c r="X33" s="48"/>
      <c r="Y33" s="48"/>
      <c r="Z33" s="48"/>
      <c r="AA33" s="49"/>
      <c r="AI33" t="s">
        <v>85</v>
      </c>
      <c r="AJ33">
        <f>AJ32/(214*2)</f>
        <v>0.7009345794392523</v>
      </c>
      <c r="AK33" t="s">
        <v>79</v>
      </c>
    </row>
    <row r="34" spans="1:48" x14ac:dyDescent="0.35">
      <c r="AK34">
        <f>AS37*7</f>
        <v>299.59999999999997</v>
      </c>
      <c r="AL34" t="s">
        <v>81</v>
      </c>
    </row>
    <row r="36" spans="1:48" ht="15" thickBot="1" x14ac:dyDescent="0.4"/>
    <row r="37" spans="1:48" ht="42.75" customHeight="1" x14ac:dyDescent="0.35">
      <c r="AB37" s="166"/>
      <c r="AC37" s="138" t="s">
        <v>39</v>
      </c>
      <c r="AD37" s="138" t="s">
        <v>40</v>
      </c>
      <c r="AE37" s="139" t="s">
        <v>88</v>
      </c>
      <c r="AF37" s="134" t="s">
        <v>55</v>
      </c>
      <c r="AG37" s="106" t="s">
        <v>73</v>
      </c>
      <c r="AH37" s="106" t="s">
        <v>72</v>
      </c>
      <c r="AI37" s="106" t="s">
        <v>87</v>
      </c>
      <c r="AJ37" s="167" t="s">
        <v>74</v>
      </c>
      <c r="AK37" s="107" t="s">
        <v>45</v>
      </c>
      <c r="AL37" s="108" t="s">
        <v>44</v>
      </c>
      <c r="AM37" s="108"/>
      <c r="AN37" s="108"/>
      <c r="AO37" s="170" t="s">
        <v>86</v>
      </c>
      <c r="AP37" s="104" t="s">
        <v>46</v>
      </c>
      <c r="AQ37" s="109" t="s">
        <v>47</v>
      </c>
      <c r="AR37" s="105"/>
      <c r="AS37">
        <f>214/5</f>
        <v>42.8</v>
      </c>
      <c r="AT37" t="s">
        <v>80</v>
      </c>
    </row>
    <row r="38" spans="1:48" ht="20.25" customHeight="1" x14ac:dyDescent="0.35">
      <c r="AB38" s="162" t="s">
        <v>71</v>
      </c>
      <c r="AC38" s="135"/>
      <c r="AD38" s="135">
        <v>33</v>
      </c>
      <c r="AE38" s="140">
        <v>36</v>
      </c>
      <c r="AF38" s="127">
        <v>5</v>
      </c>
      <c r="AG38" s="110">
        <v>6</v>
      </c>
      <c r="AH38" s="110">
        <v>8</v>
      </c>
      <c r="AI38" s="110">
        <v>7</v>
      </c>
      <c r="AJ38" s="110">
        <f>8+AJ33</f>
        <v>8.7009345794392523</v>
      </c>
      <c r="AK38" s="111">
        <v>6</v>
      </c>
      <c r="AL38" s="112">
        <v>6</v>
      </c>
      <c r="AM38" s="112"/>
      <c r="AN38" s="112"/>
      <c r="AO38" s="113">
        <v>3</v>
      </c>
      <c r="AP38" s="114">
        <v>4</v>
      </c>
      <c r="AQ38" s="115">
        <v>2</v>
      </c>
      <c r="AR38" s="105"/>
    </row>
    <row r="39" spans="1:48" ht="15.5" x14ac:dyDescent="0.35">
      <c r="AB39" s="141" t="s">
        <v>63</v>
      </c>
      <c r="AC39" s="102"/>
      <c r="AD39" s="102">
        <v>27</v>
      </c>
      <c r="AE39" s="119">
        <v>29</v>
      </c>
      <c r="AF39" s="128">
        <v>5</v>
      </c>
      <c r="AG39" s="116">
        <v>6</v>
      </c>
      <c r="AH39" s="116">
        <v>8</v>
      </c>
      <c r="AI39" s="171">
        <v>7</v>
      </c>
      <c r="AJ39" s="184">
        <f>8+AJ33</f>
        <v>8.7009345794392523</v>
      </c>
      <c r="AK39" s="116">
        <v>6</v>
      </c>
      <c r="AL39" s="116">
        <v>6</v>
      </c>
      <c r="AM39" s="116"/>
      <c r="AN39" s="116"/>
      <c r="AO39" s="116">
        <v>3</v>
      </c>
      <c r="AP39" s="116">
        <v>4</v>
      </c>
      <c r="AQ39" s="118">
        <v>2</v>
      </c>
      <c r="AV39" s="101"/>
    </row>
    <row r="40" spans="1:48" ht="15.5" x14ac:dyDescent="0.35">
      <c r="AB40" s="141" t="s">
        <v>83</v>
      </c>
      <c r="AC40" s="102"/>
      <c r="AD40" s="102">
        <v>27</v>
      </c>
      <c r="AE40" s="119">
        <v>29</v>
      </c>
      <c r="AF40" s="128">
        <v>5</v>
      </c>
      <c r="AG40" s="116">
        <v>6</v>
      </c>
      <c r="AH40" s="116">
        <v>8</v>
      </c>
      <c r="AI40" s="116">
        <v>7</v>
      </c>
      <c r="AJ40" s="116"/>
      <c r="AK40" s="116">
        <v>6</v>
      </c>
      <c r="AL40" s="116">
        <v>6</v>
      </c>
      <c r="AM40" s="116"/>
      <c r="AN40" s="116"/>
      <c r="AO40" s="116">
        <v>3</v>
      </c>
      <c r="AP40" s="116">
        <v>4</v>
      </c>
      <c r="AQ40" s="118">
        <v>2</v>
      </c>
      <c r="AV40" s="101"/>
    </row>
    <row r="41" spans="1:48" ht="15.5" x14ac:dyDescent="0.35">
      <c r="AB41" s="141" t="s">
        <v>56</v>
      </c>
      <c r="AC41" s="102"/>
      <c r="AD41" s="102"/>
      <c r="AE41" s="119">
        <f>AE39*AS47</f>
        <v>1232.5</v>
      </c>
      <c r="AF41" s="129">
        <f>AF38*AS46*2</f>
        <v>212.5</v>
      </c>
      <c r="AG41" s="117">
        <f>AG38*AS46*2</f>
        <v>255</v>
      </c>
      <c r="AH41" s="117">
        <f>AH38*AS47</f>
        <v>340</v>
      </c>
      <c r="AI41" s="117">
        <f>AI38*AS47</f>
        <v>297.5</v>
      </c>
      <c r="AJ41" s="117">
        <f>AJ38*AS46*2</f>
        <v>369.78971962616822</v>
      </c>
      <c r="AK41" s="117">
        <f t="shared" ref="AK41:AQ41" si="0">AK39*$AS$46*2</f>
        <v>255</v>
      </c>
      <c r="AL41" s="117">
        <f t="shared" si="0"/>
        <v>255</v>
      </c>
      <c r="AM41" s="117">
        <f t="shared" si="0"/>
        <v>0</v>
      </c>
      <c r="AN41" s="117">
        <f t="shared" si="0"/>
        <v>0</v>
      </c>
      <c r="AO41" s="117">
        <f t="shared" si="0"/>
        <v>127.5</v>
      </c>
      <c r="AP41" s="117">
        <f t="shared" si="0"/>
        <v>170</v>
      </c>
      <c r="AQ41" s="117">
        <f t="shared" si="0"/>
        <v>85</v>
      </c>
    </row>
    <row r="42" spans="1:48" ht="6.75" customHeight="1" x14ac:dyDescent="0.35">
      <c r="AB42" s="142"/>
      <c r="AC42" s="136"/>
      <c r="AD42" s="136"/>
      <c r="AE42" s="121"/>
      <c r="AF42" s="13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1"/>
    </row>
    <row r="43" spans="1:48" ht="15.5" x14ac:dyDescent="0.35">
      <c r="AB43" s="141" t="s">
        <v>61</v>
      </c>
      <c r="AC43" s="102">
        <f>29*20-COUNTBLANK(C4:F33)-COUNTBLANK(H4:K33)-COUNTBLANK(M4:P33)-COUNTBLANK(R4:U33)-COUNTBLANK(W4:Z33)</f>
        <v>149</v>
      </c>
      <c r="AD43" s="102">
        <f>203</f>
        <v>203</v>
      </c>
      <c r="AE43" s="119">
        <f>AVERAGE(AC43,AD43)</f>
        <v>176</v>
      </c>
      <c r="AF43" s="129"/>
      <c r="AG43" s="117">
        <f>AVERAGE((COUNTIF(C4:F33,"A")+COUNTIF(H4:K33,"A")+COUNTIF(M4:P33,"A")+COUNTIF(R4:U33,"A")+COUNTIF(W4:Z33,"A")),(COUNTIF(C4:AA33,"A")))</f>
        <v>43.5</v>
      </c>
      <c r="AH43" s="117">
        <f>$AG$43</f>
        <v>43.5</v>
      </c>
      <c r="AI43" s="117">
        <f>$AG$43</f>
        <v>43.5</v>
      </c>
      <c r="AJ43" s="117">
        <f>$AG$43</f>
        <v>43.5</v>
      </c>
      <c r="AK43" s="117">
        <f>AVERAGE((COUNTIF(C4:F33,"M")+COUNTIF(H4:K33,"M")+COUNTIF(M4:P33,"M")+COUNTIF(R4:U33,"M")+COUNTIF(W4:Z33,"M")),(COUNTIF(C4:AA33,"M")))</f>
        <v>41</v>
      </c>
      <c r="AL43" s="117">
        <f>AVERAGE((COUNTIF(C4:F33,"E")+COUNTIF(H4:K33,"E")+COUNTIF(M4:P33,"E")+COUNTIF(R4:U33,"E")+COUNTIF(W4:Z33,"E")),(COUNTIF(C4:AA33,"E")))</f>
        <v>39</v>
      </c>
      <c r="AM43" s="116">
        <f>(42+36)/2</f>
        <v>39</v>
      </c>
      <c r="AN43" s="117">
        <f>COUNTIF(C4:F33,"S")+COUNTIF(H4:K33,"S")+COUNTIF(M4:P33,"S")+COUNTIF(R4:U33,"S")+COUNTIF(W4:Z33,"S")</f>
        <v>15</v>
      </c>
      <c r="AO43" s="117">
        <f>AVERAGE((COUNTIF(C4:F33,"S")+COUNTIF(H4:K33,"S")+COUNTIF(M4:P33,"S")+COUNTIF(R4:U33,"S")+COUNTIF(W4:Z33,"S")),(COUNTIF(C4:AA33,"S")))</f>
        <v>16.5</v>
      </c>
      <c r="AP43" s="117">
        <f>AVERAGE((COUNTIF(C4:F33,"P")+COUNTIF(H4:K33,"P")+COUNTIF(M4:P33,"P")+COUNTIF(R4:U33,"P")+COUNTIF(W4:Z33,"P")),(COUNTIF(C4:AA33,"P")))</f>
        <v>29</v>
      </c>
      <c r="AQ43" s="117">
        <f>AVERAGE((COUNTIF(C4:F33,"C")+COUNTIF(H4:K33,"C")+COUNTIF(M4:P33,"C")+COUNTIF(R4:U33,"C")+COUNTIF(W4:Z33,"C")),(COUNTIF(C4:AA33,"C")))</f>
        <v>14.5</v>
      </c>
      <c r="AS43" s="102">
        <f>365-52*2-47</f>
        <v>214</v>
      </c>
      <c r="AT43" s="2" t="s">
        <v>58</v>
      </c>
      <c r="AU43" s="2"/>
    </row>
    <row r="44" spans="1:48" ht="15.5" x14ac:dyDescent="0.35">
      <c r="AB44" s="141" t="s">
        <v>60</v>
      </c>
      <c r="AC44" s="102"/>
      <c r="AD44" s="102"/>
      <c r="AE44" s="119">
        <f>AG44+AK44+AL44+AO44+AP44+AQ44</f>
        <v>161.75</v>
      </c>
      <c r="AF44" s="129"/>
      <c r="AG44" s="117">
        <f t="shared" ref="AG44:AL44" si="1">AG43</f>
        <v>43.5</v>
      </c>
      <c r="AH44" s="117">
        <f t="shared" si="1"/>
        <v>43.5</v>
      </c>
      <c r="AI44" s="117">
        <f t="shared" si="1"/>
        <v>43.5</v>
      </c>
      <c r="AJ44" s="117">
        <f t="shared" si="1"/>
        <v>43.5</v>
      </c>
      <c r="AK44" s="117">
        <f t="shared" si="1"/>
        <v>41</v>
      </c>
      <c r="AL44" s="117">
        <f t="shared" si="1"/>
        <v>39</v>
      </c>
      <c r="AM44" s="117"/>
      <c r="AN44" s="117"/>
      <c r="AO44" s="117">
        <f>AO43</f>
        <v>16.5</v>
      </c>
      <c r="AP44" s="117">
        <f>AP43/2</f>
        <v>14.5</v>
      </c>
      <c r="AQ44" s="117">
        <f>AQ43/2</f>
        <v>7.25</v>
      </c>
      <c r="AS44" s="2">
        <f>(7*31+4*30+28)/12</f>
        <v>30.416666666666668</v>
      </c>
      <c r="AT44" s="2" t="s">
        <v>75</v>
      </c>
      <c r="AU44" s="2"/>
    </row>
    <row r="45" spans="1:48" ht="15.5" x14ac:dyDescent="0.35">
      <c r="AB45" s="141" t="s">
        <v>62</v>
      </c>
      <c r="AC45" s="102"/>
      <c r="AD45" s="102">
        <f>7*AS47</f>
        <v>297.5</v>
      </c>
      <c r="AE45" s="119">
        <f>AG45+AK45+AL45+AO45+AP45+AQ45</f>
        <v>297.5</v>
      </c>
      <c r="AF45" s="128"/>
      <c r="AG45" s="117">
        <f>($AS$47*2)</f>
        <v>85</v>
      </c>
      <c r="AH45" s="117">
        <f>($AS$47*2)</f>
        <v>85</v>
      </c>
      <c r="AI45" s="117">
        <f>($AS$47*2)</f>
        <v>85</v>
      </c>
      <c r="AJ45" s="117"/>
      <c r="AK45" s="117">
        <f>$AS$47</f>
        <v>42.5</v>
      </c>
      <c r="AL45" s="116">
        <f>AS47</f>
        <v>42.5</v>
      </c>
      <c r="AM45" s="116"/>
      <c r="AN45" s="116"/>
      <c r="AO45" s="116">
        <f>AS47</f>
        <v>42.5</v>
      </c>
      <c r="AP45" s="116">
        <f>AS47</f>
        <v>42.5</v>
      </c>
      <c r="AQ45" s="116">
        <f>AS47</f>
        <v>42.5</v>
      </c>
      <c r="AS45" s="2">
        <f>(52*2+6)/12</f>
        <v>9.1666666666666661</v>
      </c>
      <c r="AT45" s="31" t="s">
        <v>76</v>
      </c>
      <c r="AU45" s="2"/>
    </row>
    <row r="46" spans="1:48" ht="15.5" x14ac:dyDescent="0.35">
      <c r="AB46" s="141" t="s">
        <v>82</v>
      </c>
      <c r="AC46" s="102"/>
      <c r="AD46" s="102"/>
      <c r="AE46" s="119">
        <f>AG46+AK46+AL46+AO46+AP46+AQ46</f>
        <v>30.25</v>
      </c>
      <c r="AF46" s="128"/>
      <c r="AG46" s="117">
        <f>$AS$46</f>
        <v>21.25</v>
      </c>
      <c r="AH46" s="117">
        <f>$AS$46</f>
        <v>21.25</v>
      </c>
      <c r="AI46" s="117">
        <f>$AS$46</f>
        <v>21.25</v>
      </c>
      <c r="AJ46" s="117"/>
      <c r="AK46" s="117">
        <f>(AK32+AK34)/AS37</f>
        <v>8.9999999999999982</v>
      </c>
      <c r="AL46" s="116"/>
      <c r="AM46" s="116"/>
      <c r="AN46" s="116"/>
      <c r="AO46" s="116"/>
      <c r="AP46" s="116"/>
      <c r="AQ46" s="116"/>
      <c r="AS46" s="102">
        <f>AS44-(AS45)</f>
        <v>21.25</v>
      </c>
      <c r="AT46" s="102" t="s">
        <v>41</v>
      </c>
      <c r="AU46" s="102"/>
    </row>
    <row r="47" spans="1:48" ht="15.5" x14ac:dyDescent="0.35">
      <c r="AB47" s="141" t="s">
        <v>57</v>
      </c>
      <c r="AC47" s="102"/>
      <c r="AD47" s="102"/>
      <c r="AE47" s="119">
        <f>AS47</f>
        <v>42.5</v>
      </c>
      <c r="AF47" s="168">
        <f>AS46</f>
        <v>21.25</v>
      </c>
      <c r="AG47" s="169">
        <f>$AE$47*AG40/$AD$40</f>
        <v>9.4444444444444446</v>
      </c>
      <c r="AH47" s="169">
        <f>$AE$47*AH40/$AE$40</f>
        <v>11.724137931034482</v>
      </c>
      <c r="AI47" s="169">
        <f>$AE$47*AI40/$AE$40</f>
        <v>10.258620689655173</v>
      </c>
      <c r="AJ47" s="169">
        <f>$AE$47*AJ40/$AE$40</f>
        <v>0</v>
      </c>
      <c r="AK47" s="169">
        <f>$AE$47*AK40/$AE$40</f>
        <v>8.7931034482758612</v>
      </c>
      <c r="AL47" s="169">
        <f t="shared" ref="AL47:AQ47" si="2">$AE$47*AL40/$AE$40</f>
        <v>8.7931034482758612</v>
      </c>
      <c r="AM47" s="169">
        <f t="shared" si="2"/>
        <v>0</v>
      </c>
      <c r="AN47" s="169">
        <f t="shared" si="2"/>
        <v>0</v>
      </c>
      <c r="AO47" s="169">
        <f t="shared" si="2"/>
        <v>4.3965517241379306</v>
      </c>
      <c r="AP47" s="169">
        <f t="shared" si="2"/>
        <v>5.8620689655172411</v>
      </c>
      <c r="AQ47" s="169">
        <f t="shared" si="2"/>
        <v>2.9310344827586206</v>
      </c>
      <c r="AS47" s="102">
        <f>AS46*2</f>
        <v>42.5</v>
      </c>
      <c r="AT47" s="102" t="s">
        <v>54</v>
      </c>
      <c r="AU47" s="102"/>
    </row>
    <row r="48" spans="1:48" ht="15.5" x14ac:dyDescent="0.35">
      <c r="AB48" s="141" t="s">
        <v>65</v>
      </c>
      <c r="AC48" s="102"/>
      <c r="AD48" s="172">
        <f>AH48+AK48+AL48+AO48+AP48+AQ48</f>
        <v>42.499999999999993</v>
      </c>
      <c r="AE48" s="119">
        <f>AS47</f>
        <v>42.5</v>
      </c>
      <c r="AF48" s="131"/>
      <c r="AG48" s="123">
        <f>$AE$48*AG40/$AD$40</f>
        <v>9.4444444444444446</v>
      </c>
      <c r="AH48" s="123">
        <f>$AE$48*AH40/$AE$40</f>
        <v>11.724137931034482</v>
      </c>
      <c r="AI48" s="123"/>
      <c r="AJ48" s="123">
        <f t="shared" ref="AJ48:AQ48" si="3">$AE$48*AJ40/$AE$40</f>
        <v>0</v>
      </c>
      <c r="AK48" s="123">
        <f t="shared" si="3"/>
        <v>8.7931034482758612</v>
      </c>
      <c r="AL48" s="123">
        <f t="shared" si="3"/>
        <v>8.7931034482758612</v>
      </c>
      <c r="AM48" s="123">
        <f t="shared" si="3"/>
        <v>0</v>
      </c>
      <c r="AN48" s="123">
        <f t="shared" si="3"/>
        <v>0</v>
      </c>
      <c r="AO48" s="123">
        <f t="shared" si="3"/>
        <v>4.3965517241379306</v>
      </c>
      <c r="AP48" s="123">
        <f t="shared" si="3"/>
        <v>5.8620689655172411</v>
      </c>
      <c r="AQ48" s="123">
        <f t="shared" si="3"/>
        <v>2.9310344827586206</v>
      </c>
      <c r="AS48" s="2">
        <f>(47-3.5*5)/10*2</f>
        <v>5.9</v>
      </c>
      <c r="AT48" s="549" t="s">
        <v>59</v>
      </c>
      <c r="AU48" s="549"/>
    </row>
    <row r="49" spans="28:48" ht="15.5" x14ac:dyDescent="0.35">
      <c r="AB49" s="143" t="s">
        <v>64</v>
      </c>
      <c r="AC49" s="102"/>
      <c r="AD49" s="2"/>
      <c r="AE49" s="124">
        <f>AS45*2*2</f>
        <v>36.666666666666664</v>
      </c>
      <c r="AF49" s="131"/>
      <c r="AG49" s="123">
        <f>$AE$49*AG40/$AD$40</f>
        <v>8.1481481481481488</v>
      </c>
      <c r="AH49" s="123">
        <f>$AE$49*AH40/$AE$40</f>
        <v>10.114942528735632</v>
      </c>
      <c r="AI49" s="123"/>
      <c r="AJ49" s="123">
        <f t="shared" ref="AJ49:AQ49" si="4">$AE$49*AJ40/$AE$40</f>
        <v>0</v>
      </c>
      <c r="AK49" s="123">
        <f t="shared" si="4"/>
        <v>7.5862068965517242</v>
      </c>
      <c r="AL49" s="123">
        <f t="shared" si="4"/>
        <v>7.5862068965517242</v>
      </c>
      <c r="AM49" s="123">
        <f t="shared" si="4"/>
        <v>0</v>
      </c>
      <c r="AN49" s="123">
        <f t="shared" si="4"/>
        <v>0</v>
      </c>
      <c r="AO49" s="123">
        <f t="shared" si="4"/>
        <v>3.7931034482758621</v>
      </c>
      <c r="AP49" s="123">
        <f t="shared" si="4"/>
        <v>5.0574712643678161</v>
      </c>
      <c r="AQ49" s="123">
        <f t="shared" si="4"/>
        <v>2.5287356321839081</v>
      </c>
      <c r="AR49" s="101"/>
    </row>
    <row r="50" spans="28:48" ht="18.75" customHeight="1" x14ac:dyDescent="0.35">
      <c r="AB50" s="143" t="s">
        <v>42</v>
      </c>
      <c r="AC50" s="102"/>
      <c r="AD50" s="2"/>
      <c r="AE50" s="144">
        <f>AS48*AE39</f>
        <v>171.10000000000002</v>
      </c>
      <c r="AF50" s="131">
        <f>$AS48*AF39</f>
        <v>29.5</v>
      </c>
      <c r="AG50" s="123">
        <f>$AS48*AG39</f>
        <v>35.400000000000006</v>
      </c>
      <c r="AH50" s="123">
        <f>$AS48*AH39</f>
        <v>47.2</v>
      </c>
      <c r="AI50" s="123"/>
      <c r="AJ50" s="123">
        <f t="shared" ref="AJ50:AQ50" si="5">$AS48*AJ39</f>
        <v>51.33551401869159</v>
      </c>
      <c r="AK50" s="123">
        <f t="shared" si="5"/>
        <v>35.400000000000006</v>
      </c>
      <c r="AL50" s="123">
        <f t="shared" si="5"/>
        <v>35.400000000000006</v>
      </c>
      <c r="AM50" s="123">
        <f t="shared" si="5"/>
        <v>0</v>
      </c>
      <c r="AN50" s="123">
        <f t="shared" si="5"/>
        <v>0</v>
      </c>
      <c r="AO50" s="123">
        <f t="shared" si="5"/>
        <v>17.700000000000003</v>
      </c>
      <c r="AP50" s="123">
        <f t="shared" si="5"/>
        <v>23.6</v>
      </c>
      <c r="AQ50" s="123">
        <f t="shared" si="5"/>
        <v>11.8</v>
      </c>
      <c r="AS50" s="179">
        <f>AS46/5</f>
        <v>4.25</v>
      </c>
    </row>
    <row r="51" spans="28:48" ht="15.5" x14ac:dyDescent="0.35">
      <c r="AB51" s="143" t="s">
        <v>89</v>
      </c>
      <c r="AC51" s="102"/>
      <c r="AD51" s="2"/>
      <c r="AE51" s="124">
        <f>SUM(AE43:AE50)</f>
        <v>958.26666666666665</v>
      </c>
      <c r="AF51" s="132"/>
      <c r="AG51" s="122">
        <f>SUM(AG43:AG50)</f>
        <v>255.68703703703707</v>
      </c>
      <c r="AH51" s="122">
        <f t="shared" ref="AH51:AI51" si="6">SUM(AH43:AH50)</f>
        <v>274.01321839080458</v>
      </c>
      <c r="AI51" s="122">
        <f t="shared" si="6"/>
        <v>203.50862068965517</v>
      </c>
      <c r="AJ51" s="122"/>
      <c r="AK51" s="122">
        <f>SUM(AK43:AK50)</f>
        <v>194.07241379310346</v>
      </c>
      <c r="AL51" s="122">
        <f>SUM(AL43:AL50)</f>
        <v>181.07241379310346</v>
      </c>
      <c r="AM51" s="122"/>
      <c r="AN51" s="122"/>
      <c r="AO51" s="122">
        <f>SUM(AO43:AO50)</f>
        <v>105.78620689655173</v>
      </c>
      <c r="AP51" s="122">
        <f>SUM(AP43:AP50)</f>
        <v>126.38160919540229</v>
      </c>
      <c r="AQ51" s="124">
        <f>SUM(AQ43:AQ50)</f>
        <v>84.440804597701145</v>
      </c>
    </row>
    <row r="52" spans="28:48" ht="6" customHeight="1" x14ac:dyDescent="0.35">
      <c r="AB52" s="145"/>
      <c r="AC52" s="137"/>
      <c r="AD52" s="137"/>
      <c r="AE52" s="146"/>
      <c r="AF52" s="133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6"/>
      <c r="AR52" s="101"/>
      <c r="AS52" s="101"/>
      <c r="AT52" s="101"/>
    </row>
    <row r="53" spans="28:48" ht="15.5" x14ac:dyDescent="0.35">
      <c r="AB53" s="143" t="s">
        <v>43</v>
      </c>
      <c r="AC53" s="102"/>
      <c r="AD53" s="2"/>
      <c r="AE53" s="124">
        <f>AE41-AE51</f>
        <v>274.23333333333335</v>
      </c>
      <c r="AF53" s="132"/>
      <c r="AG53" s="122">
        <f>AG41-AG51</f>
        <v>-0.6870370370370722</v>
      </c>
      <c r="AH53" s="122">
        <f>AH41-AH51</f>
        <v>65.986781609195418</v>
      </c>
      <c r="AI53" s="122">
        <f>AI41-AI51</f>
        <v>93.991379310344826</v>
      </c>
      <c r="AJ53" s="122"/>
      <c r="AK53" s="122">
        <f>AK41-AK51</f>
        <v>60.927586206896535</v>
      </c>
      <c r="AL53" s="122">
        <f>AL41-AL51</f>
        <v>73.927586206896535</v>
      </c>
      <c r="AM53" s="122"/>
      <c r="AN53" s="122"/>
      <c r="AO53" s="122">
        <f>AO41-AO51</f>
        <v>21.713793103448268</v>
      </c>
      <c r="AP53" s="122">
        <f>AP41-AP51</f>
        <v>43.618390804597709</v>
      </c>
      <c r="AQ53" s="124">
        <f>AQ41-AQ51</f>
        <v>0.55919540229885456</v>
      </c>
      <c r="AR53" s="101"/>
      <c r="AV53" s="101">
        <f>4.33*2*2*2</f>
        <v>34.64</v>
      </c>
    </row>
    <row r="54" spans="28:48" ht="15.5" x14ac:dyDescent="0.35">
      <c r="AB54" s="143" t="s">
        <v>66</v>
      </c>
      <c r="AC54" s="173"/>
      <c r="AD54" s="174"/>
      <c r="AE54" s="175">
        <f>SUM(AE51,AE53)</f>
        <v>1232.5</v>
      </c>
      <c r="AF54" s="176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8"/>
      <c r="AR54" s="101"/>
    </row>
    <row r="55" spans="28:48" ht="15.5" x14ac:dyDescent="0.35">
      <c r="AB55" s="143" t="s">
        <v>67</v>
      </c>
      <c r="AC55" s="102"/>
      <c r="AD55" s="2"/>
      <c r="AE55" s="124">
        <f>AE53/35.6</f>
        <v>7.7031835205992509</v>
      </c>
      <c r="AF55" s="132"/>
      <c r="AG55" s="122">
        <f>AG53/AH39</f>
        <v>-8.5879629629634024E-2</v>
      </c>
      <c r="AH55" s="122"/>
      <c r="AI55" s="122"/>
      <c r="AJ55" s="122"/>
      <c r="AK55" s="122">
        <f>AK53/AK39</f>
        <v>10.154597701149422</v>
      </c>
      <c r="AL55" s="122">
        <f>AL53/AL39</f>
        <v>12.32126436781609</v>
      </c>
      <c r="AM55" s="122"/>
      <c r="AN55" s="122"/>
      <c r="AO55" s="122">
        <f>AO53/AO39</f>
        <v>7.2379310344827559</v>
      </c>
      <c r="AP55" s="122">
        <f>AP53/AP39</f>
        <v>10.904597701149427</v>
      </c>
      <c r="AQ55" s="124">
        <f>AQ53/AQ39</f>
        <v>0.27959770114942728</v>
      </c>
      <c r="AR55" s="101"/>
    </row>
    <row r="56" spans="28:48" ht="15.5" x14ac:dyDescent="0.35">
      <c r="AB56" s="149" t="s">
        <v>90</v>
      </c>
      <c r="AC56" s="150"/>
      <c r="AD56" s="25"/>
      <c r="AE56" s="151"/>
      <c r="AF56" s="155"/>
      <c r="AG56" s="156">
        <f>AG45/AG38</f>
        <v>14.166666666666666</v>
      </c>
      <c r="AH56" s="156">
        <f t="shared" ref="AH56:AI56" si="7">AH45/AH38</f>
        <v>10.625</v>
      </c>
      <c r="AI56" s="156">
        <f t="shared" si="7"/>
        <v>12.142857142857142</v>
      </c>
      <c r="AJ56" s="156"/>
      <c r="AK56" s="156"/>
      <c r="AL56" s="156"/>
      <c r="AM56" s="156"/>
      <c r="AN56" s="156"/>
      <c r="AO56" s="156"/>
      <c r="AP56" s="156"/>
      <c r="AQ56" s="151"/>
      <c r="AR56" s="101"/>
      <c r="AT56">
        <f>208/5</f>
        <v>41.6</v>
      </c>
    </row>
    <row r="57" spans="28:48" ht="16" thickBot="1" x14ac:dyDescent="0.4">
      <c r="AB57" s="149" t="s">
        <v>68</v>
      </c>
      <c r="AC57" s="150"/>
      <c r="AD57" s="25"/>
      <c r="AE57" s="151">
        <f>AE55/2</f>
        <v>3.8515917602996255</v>
      </c>
      <c r="AF57" s="155"/>
      <c r="AG57" s="156">
        <f>AG55/2</f>
        <v>-4.2939814814817012E-2</v>
      </c>
      <c r="AH57" s="156"/>
      <c r="AI57" s="156"/>
      <c r="AJ57" s="156"/>
      <c r="AK57" s="156">
        <f>AK55/2</f>
        <v>5.077298850574711</v>
      </c>
      <c r="AL57" s="156">
        <f>AL55/2</f>
        <v>6.1606321839080449</v>
      </c>
      <c r="AM57" s="156"/>
      <c r="AN57" s="156"/>
      <c r="AO57" s="156">
        <f>AO55/2</f>
        <v>3.6189655172413779</v>
      </c>
      <c r="AP57" s="156">
        <f>AP55/2</f>
        <v>5.4522988505747136</v>
      </c>
      <c r="AQ57" s="151">
        <f>AQ55/2</f>
        <v>0.13979885057471364</v>
      </c>
      <c r="AR57" s="101"/>
    </row>
    <row r="58" spans="28:48" ht="15.5" x14ac:dyDescent="0.35">
      <c r="AB58" s="153" t="s">
        <v>77</v>
      </c>
      <c r="AC58" s="103"/>
      <c r="AD58" s="88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52"/>
    </row>
    <row r="59" spans="28:48" ht="31" x14ac:dyDescent="0.35">
      <c r="AB59" s="141" t="s">
        <v>69</v>
      </c>
      <c r="AC59" s="102"/>
      <c r="AD59" s="2"/>
      <c r="AE59" s="157">
        <f>27-11</f>
        <v>16</v>
      </c>
      <c r="AF59" s="157"/>
      <c r="AG59" s="157">
        <v>4</v>
      </c>
      <c r="AH59" s="157">
        <f t="shared" ref="AH59:AN59" si="8">27-11</f>
        <v>16</v>
      </c>
      <c r="AI59" s="157"/>
      <c r="AJ59" s="157">
        <f t="shared" si="8"/>
        <v>16</v>
      </c>
      <c r="AK59" s="157">
        <v>0</v>
      </c>
      <c r="AL59" s="157">
        <v>1</v>
      </c>
      <c r="AM59" s="157">
        <f t="shared" si="8"/>
        <v>16</v>
      </c>
      <c r="AN59" s="157">
        <f t="shared" si="8"/>
        <v>16</v>
      </c>
      <c r="AO59" s="157">
        <v>12</v>
      </c>
      <c r="AP59" s="157">
        <v>0</v>
      </c>
      <c r="AQ59" s="154">
        <v>0</v>
      </c>
      <c r="AS59" t="s">
        <v>91</v>
      </c>
      <c r="AT59" s="180">
        <v>208</v>
      </c>
      <c r="AU59" t="s">
        <v>92</v>
      </c>
    </row>
    <row r="60" spans="28:48" ht="15.5" x14ac:dyDescent="0.35">
      <c r="AB60" s="143" t="s">
        <v>43</v>
      </c>
      <c r="AC60" s="2"/>
      <c r="AD60" s="2"/>
      <c r="AE60" s="158">
        <f>AE53-AE59</f>
        <v>258.23333333333335</v>
      </c>
      <c r="AF60" s="158"/>
      <c r="AG60" s="158">
        <f>AG53-AG59</f>
        <v>-4.6870370370370722</v>
      </c>
      <c r="AH60" s="158">
        <f>AH53-AH59</f>
        <v>49.986781609195418</v>
      </c>
      <c r="AI60" s="158"/>
      <c r="AJ60" s="158">
        <f t="shared" ref="AJ60:AQ60" si="9">AJ53-AJ59</f>
        <v>-16</v>
      </c>
      <c r="AK60" s="158">
        <f t="shared" si="9"/>
        <v>60.927586206896535</v>
      </c>
      <c r="AL60" s="158">
        <f t="shared" si="9"/>
        <v>72.927586206896535</v>
      </c>
      <c r="AM60" s="158">
        <f t="shared" si="9"/>
        <v>-16</v>
      </c>
      <c r="AN60" s="158">
        <f t="shared" si="9"/>
        <v>-16</v>
      </c>
      <c r="AO60" s="158">
        <f t="shared" si="9"/>
        <v>9.7137931034482676</v>
      </c>
      <c r="AP60" s="158">
        <f t="shared" si="9"/>
        <v>43.618390804597709</v>
      </c>
      <c r="AQ60" s="158">
        <f t="shared" si="9"/>
        <v>0.55919540229885456</v>
      </c>
      <c r="AS60" t="s">
        <v>93</v>
      </c>
      <c r="AT60">
        <f>208-(7*5)</f>
        <v>173</v>
      </c>
    </row>
    <row r="61" spans="28:48" ht="15.5" x14ac:dyDescent="0.35">
      <c r="AB61" s="143" t="s">
        <v>67</v>
      </c>
      <c r="AC61" s="2"/>
      <c r="AD61" s="2"/>
      <c r="AE61" s="159">
        <f>AE60/35.6</f>
        <v>7.2537453183520597</v>
      </c>
      <c r="AF61" s="159"/>
      <c r="AG61" s="159">
        <f>AG60/AH39</f>
        <v>-0.58587962962963402</v>
      </c>
      <c r="AH61" s="159" t="e">
        <f>AH60/#REF!</f>
        <v>#REF!</v>
      </c>
      <c r="AI61" s="159"/>
      <c r="AJ61" s="159">
        <f>AJ60/AJ39</f>
        <v>-1.8388829215896885</v>
      </c>
      <c r="AK61" s="159">
        <f>AK60/AK39</f>
        <v>10.154597701149422</v>
      </c>
      <c r="AL61" s="159">
        <f>AL60/AL39</f>
        <v>12.154597701149422</v>
      </c>
      <c r="AM61" s="159">
        <f>AM60/35.6</f>
        <v>-0.449438202247191</v>
      </c>
      <c r="AN61" s="159">
        <f>AN60/35.6</f>
        <v>-0.449438202247191</v>
      </c>
      <c r="AO61" s="159">
        <f>AO60/AO40</f>
        <v>3.2379310344827559</v>
      </c>
      <c r="AP61" s="159">
        <f>AP60/AP40</f>
        <v>10.904597701149427</v>
      </c>
      <c r="AQ61" s="159">
        <f>AQ60/AQ40</f>
        <v>0.27959770114942728</v>
      </c>
    </row>
    <row r="62" spans="28:48" ht="16" thickBot="1" x14ac:dyDescent="0.4">
      <c r="AB62" s="147" t="s">
        <v>68</v>
      </c>
      <c r="AC62" s="148"/>
      <c r="AD62" s="148"/>
      <c r="AE62" s="161">
        <f>AE61/2</f>
        <v>3.6268726591760299</v>
      </c>
      <c r="AF62" s="161"/>
      <c r="AG62" s="161">
        <f t="shared" ref="AG62:AO62" si="10">AG61/2</f>
        <v>-0.29293981481481701</v>
      </c>
      <c r="AH62" s="161" t="e">
        <f>AH61/2</f>
        <v>#REF!</v>
      </c>
      <c r="AI62" s="161"/>
      <c r="AJ62" s="161">
        <f>AJ61/2</f>
        <v>-0.91944146079484423</v>
      </c>
      <c r="AK62" s="161">
        <f>AK61/2</f>
        <v>5.077298850574711</v>
      </c>
      <c r="AL62" s="161">
        <f t="shared" si="10"/>
        <v>6.077298850574711</v>
      </c>
      <c r="AM62" s="161">
        <f t="shared" si="10"/>
        <v>-0.2247191011235955</v>
      </c>
      <c r="AN62" s="161">
        <f t="shared" si="10"/>
        <v>-0.2247191011235955</v>
      </c>
      <c r="AO62" s="161">
        <f t="shared" si="10"/>
        <v>1.6189655172413779</v>
      </c>
      <c r="AP62" s="161">
        <f>AP61/2</f>
        <v>5.4522988505747136</v>
      </c>
      <c r="AQ62" s="161">
        <f>AQ61/2</f>
        <v>0.13979885057471364</v>
      </c>
    </row>
    <row r="64" spans="28:48" ht="15.5" x14ac:dyDescent="0.35">
      <c r="AB64" s="181" t="s">
        <v>95</v>
      </c>
      <c r="AD64">
        <f t="shared" ref="AD64:AK64" si="11">(AD45/2)*10/(173*AD38)</f>
        <v>0.26055351199859872</v>
      </c>
      <c r="AE64">
        <f t="shared" si="11"/>
        <v>0.23884071933204881</v>
      </c>
      <c r="AF64">
        <f t="shared" si="11"/>
        <v>0</v>
      </c>
      <c r="AG64">
        <f t="shared" si="11"/>
        <v>0.40944123314065511</v>
      </c>
      <c r="AH64">
        <f t="shared" si="11"/>
        <v>0.30708092485549132</v>
      </c>
      <c r="AI64">
        <f t="shared" si="11"/>
        <v>0.3509496284062758</v>
      </c>
      <c r="AJ64">
        <f t="shared" si="11"/>
        <v>0</v>
      </c>
      <c r="AK64">
        <f t="shared" si="11"/>
        <v>0.20472061657032756</v>
      </c>
      <c r="AL64">
        <f>(AL45/2)*10/(173*AL38)</f>
        <v>0.20472061657032756</v>
      </c>
      <c r="AM64" t="e">
        <f t="shared" ref="AM64:AQ64" si="12">(AM45/2)*10/(173*AM38)</f>
        <v>#DIV/0!</v>
      </c>
      <c r="AN64" t="e">
        <f t="shared" si="12"/>
        <v>#DIV/0!</v>
      </c>
      <c r="AO64">
        <f t="shared" si="12"/>
        <v>0.40944123314065511</v>
      </c>
      <c r="AP64">
        <f t="shared" si="12"/>
        <v>0.30708092485549132</v>
      </c>
      <c r="AQ64">
        <f t="shared" si="12"/>
        <v>0.61416184971098264</v>
      </c>
    </row>
    <row r="65" spans="28:43" ht="15.5" x14ac:dyDescent="0.35">
      <c r="AB65" s="181" t="s">
        <v>94</v>
      </c>
      <c r="AD65">
        <f t="shared" ref="AD65:AQ65" si="13">(AD43*10)/(173*AD38)</f>
        <v>0.3555789104922053</v>
      </c>
      <c r="AE65">
        <f t="shared" si="13"/>
        <v>0.28259473346178549</v>
      </c>
      <c r="AF65">
        <f t="shared" si="13"/>
        <v>0</v>
      </c>
      <c r="AG65">
        <f t="shared" si="13"/>
        <v>0.41907514450867051</v>
      </c>
      <c r="AH65">
        <f t="shared" si="13"/>
        <v>0.31430635838150289</v>
      </c>
      <c r="AI65">
        <f t="shared" si="13"/>
        <v>0.3592072667217176</v>
      </c>
      <c r="AJ65">
        <f t="shared" si="13"/>
        <v>0.28898629728739683</v>
      </c>
      <c r="AK65">
        <f t="shared" si="13"/>
        <v>0.39499036608863197</v>
      </c>
      <c r="AL65">
        <f t="shared" si="13"/>
        <v>0.37572254335260113</v>
      </c>
      <c r="AM65" t="e">
        <f t="shared" si="13"/>
        <v>#DIV/0!</v>
      </c>
      <c r="AN65" t="e">
        <f t="shared" si="13"/>
        <v>#DIV/0!</v>
      </c>
      <c r="AO65">
        <f t="shared" si="13"/>
        <v>0.31791907514450868</v>
      </c>
      <c r="AP65">
        <f>(AP43*10)/(173*AP38)</f>
        <v>0.41907514450867051</v>
      </c>
      <c r="AQ65">
        <f t="shared" si="13"/>
        <v>0.41907514450867051</v>
      </c>
    </row>
  </sheetData>
  <mergeCells count="1">
    <mergeCell ref="AT48:AU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Actuel</vt:lpstr>
      <vt:lpstr>Réforme</vt:lpstr>
      <vt:lpstr>Proposition </vt:lpstr>
      <vt:lpstr>Simulation MP</vt:lpstr>
      <vt:lpstr>Proposition</vt:lpstr>
      <vt:lpstr>Feuil3</vt:lpstr>
      <vt:lpstr>Charges</vt:lpstr>
    </vt:vector>
  </TitlesOfParts>
  <Company>Ministère de la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CHALAUX Marion</dc:creator>
  <cp:lastModifiedBy>REGIN Lucile</cp:lastModifiedBy>
  <cp:lastPrinted>2024-12-20T09:22:24Z</cp:lastPrinted>
  <dcterms:created xsi:type="dcterms:W3CDTF">2020-02-19T12:53:34Z</dcterms:created>
  <dcterms:modified xsi:type="dcterms:W3CDTF">2025-10-13T16:06:38Z</dcterms:modified>
</cp:coreProperties>
</file>